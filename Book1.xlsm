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nfoMobius\Documents\GitHub\MDCReports\"/>
    </mc:Choice>
  </mc:AlternateContent>
  <bookViews>
    <workbookView xWindow="0" yWindow="0" windowWidth="28800" windowHeight="12435"/>
  </bookViews>
  <sheets>
    <sheet name="Sheet2" sheetId="2" r:id="rId1"/>
    <sheet name="Sheet1" sheetId="1" r:id="rId2"/>
  </sheets>
  <definedNames>
    <definedName name="sale.order.line" localSheetId="1">Sheet1!$A$1:$R$372</definedName>
  </definedNames>
  <calcPr calcId="152511"/>
  <pivotCaches>
    <pivotCache cacheId="12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6" i="1" l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2" i="1"/>
</calcChain>
</file>

<file path=xl/connections.xml><?xml version="1.0" encoding="utf-8"?>
<connections xmlns="http://schemas.openxmlformats.org/spreadsheetml/2006/main">
  <connection id="1" name="sale.order.line" type="6" refreshedVersion="5" background="1" saveData="1">
    <textPr codePage="65001" sourceFile="C:\Users\InfoMobius\Documents\GitHub\MDCReports\sale.order.line.csv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<sst xmlns="http://schemas.openxmlformats.org/spreadsheetml/2006/main" count="2260" uniqueCount="743">
  <si>
    <t>External ID</t>
  </si>
  <si>
    <t>Order Reference/Order Reference</t>
  </si>
  <si>
    <t>Order Reference/Date</t>
  </si>
  <si>
    <t>Status</t>
  </si>
  <si>
    <t>Salesperson/Name</t>
  </si>
  <si>
    <t>Customer/Name</t>
  </si>
  <si>
    <t>Description</t>
  </si>
  <si>
    <t>Unit Price</t>
  </si>
  <si>
    <t>Quantity</t>
  </si>
  <si>
    <t>Discount Amount</t>
  </si>
  <si>
    <t>Subtotal</t>
  </si>
  <si>
    <t>Taxes/Amount</t>
  </si>
  <si>
    <t>Order Reference/Delivered</t>
  </si>
  <si>
    <t>Order Reference/Taxes</t>
  </si>
  <si>
    <t>Order Reference/Taxes With Discount</t>
  </si>
  <si>
    <t>Order Reference/Total</t>
  </si>
  <si>
    <t>Order Reference/Total With Discount</t>
  </si>
  <si>
    <t>__export__.sale_order_line_400</t>
  </si>
  <si>
    <t>SO121</t>
  </si>
  <si>
    <t>Confirmed</t>
  </si>
  <si>
    <t>kiikie</t>
  </si>
  <si>
    <t>ร้าน See Baby</t>
  </si>
  <si>
    <t>[SL5077] รถเข็นเด็ก Maxi สีแดง</t>
  </si>
  <si>
    <t>__export__.sale_order_line_401</t>
  </si>
  <si>
    <t>[SL5081] รถเข็นเด็ก Maxi สีฟ้า</t>
  </si>
  <si>
    <t>__export__.sale_order_line_399</t>
  </si>
  <si>
    <t>SO120</t>
  </si>
  <si>
    <t>[SL5017] รถเข็นเด็ก Mini สีแดง</t>
  </si>
  <si>
    <t>__export__.sale_order_line_398</t>
  </si>
  <si>
    <t>SO119</t>
  </si>
  <si>
    <t>สบายออนไลน์ (ร้าน Mom 2 Kids)</t>
  </si>
  <si>
    <t>[SZ4054] เครื่องนึ่งขวดนม Stand Teflon สีเขียว </t>
  </si>
  <si>
    <t>__export__.sale_order_line_396</t>
  </si>
  <si>
    <t>SO118</t>
  </si>
  <si>
    <t>suphathanjira</t>
  </si>
  <si>
    <t>บ้านผิงผิง</t>
  </si>
  <si>
    <t>[SL5031] รถเข็นเด็ก Compact สีฟ้า</t>
  </si>
  <si>
    <t>__export__.sale_order_line_397</t>
  </si>
  <si>
    <t>[WK3011] รถหัดเดินเด็ก 2in1 สีฟ้า</t>
  </si>
  <si>
    <t>__export__.sale_order_line_395</t>
  </si>
  <si>
    <t>SO117</t>
  </si>
  <si>
    <t>คุณซูซาน แซเลาะ</t>
  </si>
  <si>
    <t>[WK3121] รถหัดเดินเด็ก Rock and Run สีฟ้า </t>
  </si>
  <si>
    <t>__export__.sale_order_line_394</t>
  </si>
  <si>
    <t>SO116</t>
  </si>
  <si>
    <t>คุณแพท</t>
  </si>
  <si>
    <t>[WK3076] รถหัดเดินเด็ก Delux 4in1 สีชมพู</t>
  </si>
  <si>
    <t>__export__.sale_order_line_392</t>
  </si>
  <si>
    <t>SO115</t>
  </si>
  <si>
    <t>__export__.sale_order_line_393</t>
  </si>
  <si>
    <t>[PT8062] กระโถนเด็ก Music สีชมพู</t>
  </si>
  <si>
    <t>__export__.sale_order_line_391</t>
  </si>
  <si>
    <t>SO114</t>
  </si>
  <si>
    <t>kitchapat</t>
  </si>
  <si>
    <t>ร้านเบบี้เวิร์ค อ้อมใหญ่</t>
  </si>
  <si>
    <t>[BS7019] โต๊ะนั่งกินข้าวสำหรับเด็ก</t>
  </si>
  <si>
    <t>__export__.sale_order_line_389</t>
  </si>
  <si>
    <t>SO113</t>
  </si>
  <si>
    <t>Draft</t>
  </si>
  <si>
    <t>พรบีบี</t>
  </si>
  <si>
    <t>[BT2031] Baby Bathtub อ่างอาบน้ำเด็กขอบจับ สีฟ้า</t>
  </si>
  <si>
    <t>__export__.sale_order_line_390</t>
  </si>
  <si>
    <t>[BT2046] Baby Bathtub อ่างอาบน้ำเด็กขอบจับ สีชมพู</t>
  </si>
  <si>
    <t>__export__.sale_order_line_388</t>
  </si>
  <si>
    <t>SO112</t>
  </si>
  <si>
    <t>MARC ARNEY OREIRO</t>
  </si>
  <si>
    <t>__export__.sale_order_line_387</t>
  </si>
  <si>
    <t>SO111</t>
  </si>
  <si>
    <t>คุณชลธิชา ฟ้ากระจ่าง</t>
  </si>
  <si>
    <t>__export__.sale_order_line_385</t>
  </si>
  <si>
    <t>SO110</t>
  </si>
  <si>
    <t>คุณกุหลาบ มูลศาสตร์</t>
  </si>
  <si>
    <t>[WK3061] รถหัดเดินเด็ก Delux 4in1 สีฟ้า </t>
  </si>
  <si>
    <t>__export__.sale_order_line_386</t>
  </si>
  <si>
    <t>[PT8019] กระโถนสำหรับเด็ก 3in1</t>
  </si>
  <si>
    <t>__export__.sale_order_line_384</t>
  </si>
  <si>
    <t>SO109</t>
  </si>
  <si>
    <t>คุณนริศรา สุวรรณภูมิ</t>
  </si>
  <si>
    <t>[RK1124] เปลโยกเด็ก Bear Music สีน้ำตาล</t>
  </si>
  <si>
    <t>__export__.sale_order_line_383</t>
  </si>
  <si>
    <t>SO108</t>
  </si>
  <si>
    <t>คุณสิริทิพย์ ฉิมเกตุ</t>
  </si>
  <si>
    <t>[SZ4061] เครื่องนึ่งขวดนม Stand Teflon สีฟ้า </t>
  </si>
  <si>
    <t>__export__.sale_order_line_382</t>
  </si>
  <si>
    <t>SO107</t>
  </si>
  <si>
    <t>คุณณัฐพรรณ สิทธิ์ศิร</t>
  </si>
  <si>
    <t>[AP3112] ไมย์แคร์ แผ่นปิดดูดสิว Night 12</t>
  </si>
  <si>
    <t>__export__.sale_order_line_381</t>
  </si>
  <si>
    <t>SO106</t>
  </si>
  <si>
    <t>คุณจุฑามาศ ทวีคูณ</t>
  </si>
  <si>
    <t>[RK1041] เปลโยกเด็ก Bear สีฟ้า</t>
  </si>
  <si>
    <t>__export__.sale_order_line_380</t>
  </si>
  <si>
    <t>SO105</t>
  </si>
  <si>
    <t>Done</t>
  </si>
  <si>
    <t>นายวิชาญ โพชา</t>
  </si>
  <si>
    <t>__export__.sale_order_line_378</t>
  </si>
  <si>
    <t>SO104</t>
  </si>
  <si>
    <t>คุณอัจฉริยา สุโพธิ์ภาค</t>
  </si>
  <si>
    <t>__export__.sale_order_line_379</t>
  </si>
  <si>
    <t>[BT0239] Baby Bath Chair ที่กันลื่น สีขาว</t>
  </si>
  <si>
    <t>__export__.sale_order_line_376</t>
  </si>
  <si>
    <t>SO103</t>
  </si>
  <si>
    <t>คุณสาวิตรี สอนสะอดา</t>
  </si>
  <si>
    <t>__export__.sale_order_line_377</t>
  </si>
  <si>
    <t>__export__.sale_order_line_375</t>
  </si>
  <si>
    <t>SO102</t>
  </si>
  <si>
    <t>คุณเสฏฐวุฒิ ผ่านวิริยะกุลชัย</t>
  </si>
  <si>
    <t>[SZ4071] เครื่องนึ่งขวดนม Timer Teflon สีฟ้า</t>
  </si>
  <si>
    <t>__export__.sale_order_line_374</t>
  </si>
  <si>
    <t>SO101</t>
  </si>
  <si>
    <t>คุณฐาปกรณ์ จันต๊ะสุข</t>
  </si>
  <si>
    <t>[RK1032] เปลโยกเด็ก Bear สีน้ำตาล</t>
  </si>
  <si>
    <t>__export__.sale_order_line_373</t>
  </si>
  <si>
    <t>SO100</t>
  </si>
  <si>
    <t>คุณเจนตา เรืองทวีป</t>
  </si>
  <si>
    <t>[PT8031] กระโถนเด็ก Music สีฟ้า</t>
  </si>
  <si>
    <t>__export__.sale_order_line_372</t>
  </si>
  <si>
    <t>SO099</t>
  </si>
  <si>
    <t>jarunee</t>
  </si>
  <si>
    <t>บริษัท เอก-ชัย ดิสทริบิวชั่น ซิสเทม จำกัด สาขาบางบัวทอง</t>
  </si>
  <si>
    <t>[AP3212P12] ไมย์แคร์ แผ่นปิดดูดสิว Day 3 x Night 3 Pack 12</t>
  </si>
  <si>
    <t>__export__.sale_order_line_366</t>
  </si>
  <si>
    <t>SO098</t>
  </si>
  <si>
    <t>[EP9021] ปั๊มนมไฟฟ้า  สีฟ้า</t>
  </si>
  <si>
    <t>__export__.sale_order_line_367</t>
  </si>
  <si>
    <t>[EP9024] ปั๊มนมไฟฟ้า สีเขียว</t>
  </si>
  <si>
    <t>__export__.sale_order_line_368</t>
  </si>
  <si>
    <t>__export__.sale_order_line_369</t>
  </si>
  <si>
    <t>__export__.sale_order_line_370</t>
  </si>
  <si>
    <t>[SZ4041] เครื่องนึ่งขวดนม Dryer Teflon สีฟ้า</t>
  </si>
  <si>
    <t>__export__.sale_order_line_371</t>
  </si>
  <si>
    <t>[SZ4034] เครื่องนึ่งขวดนม Dryer Teflon สีเขียว</t>
  </si>
  <si>
    <t>__export__.sale_order_line_356</t>
  </si>
  <si>
    <t>SO097</t>
  </si>
  <si>
    <t>ร้านลูกรัก สาขาหน้าโรงพยาบาลศูนย์ยะลา (ตรงข้าม)</t>
  </si>
  <si>
    <t>[SL5064] รถเข็นเด็ก Mini2 สีเขียว</t>
  </si>
  <si>
    <t>__export__.sale_order_line_357</t>
  </si>
  <si>
    <t>[SL5057] รถเข็นเด็ก Mini2 สีแดง</t>
  </si>
  <si>
    <t>__export__.sale_order_line_358</t>
  </si>
  <si>
    <t>__export__.sale_order_line_359</t>
  </si>
  <si>
    <t>__export__.sale_order_line_360</t>
  </si>
  <si>
    <t>__export__.sale_order_line_361</t>
  </si>
  <si>
    <t>__export__.sale_order_line_362</t>
  </si>
  <si>
    <t>[WK3046] รถหัดเดินเด็ก Fish 8ล้อ สีชมพู</t>
  </si>
  <si>
    <t>__export__.sale_order_line_363</t>
  </si>
  <si>
    <t>[WK3051] รถหัดเดินเด็ก Fish 8ล้อ สีฟ้า</t>
  </si>
  <si>
    <t>__export__.sale_order_line_364</t>
  </si>
  <si>
    <t>[FD12717476P12] กระติกน้ำแบบมีหลอดดูด Sport sipper cup สีฟ้า-เขียว-ชมพู Pack 12</t>
  </si>
  <si>
    <t>__export__.sale_order_line_365</t>
  </si>
  <si>
    <t>[FD12313536P12] ถ้วยหัดดื่มแขนจับ 2 Handle cup สีฟ้า-ส้ม-ชมพู Pack 12</t>
  </si>
  <si>
    <t>__export__.sale_order_line_346</t>
  </si>
  <si>
    <t>SO096</t>
  </si>
  <si>
    <t>ร้านลูกรัก สาขาหน้าโรงพยาบาลหาดใหญ่ (ตรงข้าม)</t>
  </si>
  <si>
    <t>__export__.sale_order_line_347</t>
  </si>
  <si>
    <t>__export__.sale_order_line_348</t>
  </si>
  <si>
    <t>__export__.sale_order_line_349</t>
  </si>
  <si>
    <t>__export__.sale_order_line_350</t>
  </si>
  <si>
    <t>__export__.sale_order_line_351</t>
  </si>
  <si>
    <t>__export__.sale_order_line_352</t>
  </si>
  <si>
    <t>__export__.sale_order_line_353</t>
  </si>
  <si>
    <t>__export__.sale_order_line_354</t>
  </si>
  <si>
    <t>__export__.sale_order_line_355</t>
  </si>
  <si>
    <t>__export__.sale_order_line_345</t>
  </si>
  <si>
    <t>SO095</t>
  </si>
  <si>
    <t>บริษัท เอก-ชัย ดิสทริบิวชั่น ซิสเทม จำกัด สาขาสามโคก</t>
  </si>
  <si>
    <t>__export__.sale_order_line_340</t>
  </si>
  <si>
    <t>SO094</t>
  </si>
  <si>
    <t>[SZ4054P2] เครื่องนึ่งขวดนม Stand Teflon สีเขียว Pack 2</t>
  </si>
  <si>
    <t>__export__.sale_order_line_341</t>
  </si>
  <si>
    <t>[ABR1001421P12] แปรงล้างขวดนมแบบหมุนสีฟ้า-เขียว Pack 12</t>
  </si>
  <si>
    <t>__export__.sale_order_line_342</t>
  </si>
  <si>
    <t>[SZ407186P2] เครื่องนึ่งขวดนม Timer Teflon สีฟ้า-ชมพู Pack 2</t>
  </si>
  <si>
    <t>__export__.sale_order_line_343</t>
  </si>
  <si>
    <t>[MP9010] ปั๊มนมก้านโยก สีขาว</t>
  </si>
  <si>
    <t>__export__.sale_order_line_344</t>
  </si>
  <si>
    <t>[FD12717476P72] กระติกน้ำแบบมีหลอดดูด Sport sipper cup สีฟ้า-เขียว-ชมพู Pack 12</t>
  </si>
  <si>
    <t>__export__.sale_order_line_334</t>
  </si>
  <si>
    <t>SO093</t>
  </si>
  <si>
    <t>__export__.sale_order_line_335</t>
  </si>
  <si>
    <t>[ABR1014P12] แปรงล้างขวดนมและจุกนมสีฟ้า-ชมพู Pack 12</t>
  </si>
  <si>
    <t>__export__.sale_order_line_336</t>
  </si>
  <si>
    <t>__export__.sale_order_line_337</t>
  </si>
  <si>
    <t>__export__.sale_order_line_338</t>
  </si>
  <si>
    <t>__export__.sale_order_line_339</t>
  </si>
  <si>
    <t>__export__.sale_order_line_333</t>
  </si>
  <si>
    <t>SO092</t>
  </si>
  <si>
    <t>บริษัท เอก-ชัย ดิสทริบิวชั่น ซิสเทม จำกัด สาขาวังน้อย</t>
  </si>
  <si>
    <t>__export__.sale_order_line_332</t>
  </si>
  <si>
    <t>SO091</t>
  </si>
  <si>
    <t>คุณฐิตารีย์ คงทอง</t>
  </si>
  <si>
    <t>__export__.sale_order_line_331</t>
  </si>
  <si>
    <t>SO090</t>
  </si>
  <si>
    <t>บริษัท พี.วี.เอส.อินเตอร์เทรด จำกัด สำนักงานใหญ่</t>
  </si>
  <si>
    <t>__export__.sale_order_line_330</t>
  </si>
  <si>
    <t>SO089</t>
  </si>
  <si>
    <t>คุณพงษ์สันต์ มะใบ</t>
  </si>
  <si>
    <t>__export__.sale_order_line_329</t>
  </si>
  <si>
    <t>SO088</t>
  </si>
  <si>
    <t>คุณลดา ชัยวงค์</t>
  </si>
  <si>
    <t>__export__.sale_order_line_328</t>
  </si>
  <si>
    <t>SO087</t>
  </si>
  <si>
    <t>Administrator</t>
  </si>
  <si>
    <t>คุณธิดารัตน์ เทียมรัตน์</t>
  </si>
  <si>
    <t>[BT0226] Baby Bathtub อ่างอาบน้ำเด็กขนาดกลาง สีชมพู</t>
  </si>
  <si>
    <t>__export__.sale_order_line_311</t>
  </si>
  <si>
    <t>SO086</t>
  </si>
  <si>
    <t>บริษัท ดีพีพี อินเตอร์เทรด จำกัด</t>
  </si>
  <si>
    <t>__export__.sale_order_line_312</t>
  </si>
  <si>
    <t>[SL5021] รถเข็นเด็ก Mini สีฟ้า</t>
  </si>
  <si>
    <t>__export__.sale_order_line_313</t>
  </si>
  <si>
    <t>__export__.sale_order_line_314</t>
  </si>
  <si>
    <t>[WK3246] รถหัดเดินเด็ก Fish 6ล้อ สีชมพู</t>
  </si>
  <si>
    <t>__export__.sale_order_line_315</t>
  </si>
  <si>
    <t>__export__.sale_order_line_316</t>
  </si>
  <si>
    <t>[WK3096] รถหัดเดินเด็ก Flower สีชมพู</t>
  </si>
  <si>
    <t>__export__.sale_order_line_317</t>
  </si>
  <si>
    <t>[WK3081] รถหัดเดินเด็ก Flower สีฟ้า</t>
  </si>
  <si>
    <t>__export__.sale_order_line_318</t>
  </si>
  <si>
    <t>__export__.sale_order_line_319</t>
  </si>
  <si>
    <t>__export__.sale_order_line_320</t>
  </si>
  <si>
    <t>__export__.sale_order_line_321</t>
  </si>
  <si>
    <t>__export__.sale_order_line_322</t>
  </si>
  <si>
    <t>[ABR10014] แปรงล้างขวดนมแบบหมุนสีฟ้า</t>
  </si>
  <si>
    <t>__export__.sale_order_line_323</t>
  </si>
  <si>
    <t>[ABR10021] แปรงล้างขวดนมแบบหมุนสีเขียว</t>
  </si>
  <si>
    <t>__export__.sale_order_line_324</t>
  </si>
  <si>
    <t>[ABR1014B] แปรงล้างขวดนมและจุกนมสีฟ้า</t>
  </si>
  <si>
    <t>__export__.sale_order_line_325</t>
  </si>
  <si>
    <t>[ABR1014P] แปรงล้างขวดนมและจุกนมสีชมพู</t>
  </si>
  <si>
    <t>__export__.sale_order_line_326</t>
  </si>
  <si>
    <t>__export__.sale_order_line_327</t>
  </si>
  <si>
    <t>__export__.sale_order_line_305</t>
  </si>
  <si>
    <t>SO085</t>
  </si>
  <si>
    <t>Boots Retail (Thailand) Ltd.</t>
  </si>
  <si>
    <t xml:space="preserve">[AP3012] ไมย์แคร์ แผ่นปิดดูดสิว Day 12 </t>
  </si>
  <si>
    <t>__export__.sale_order_line_306</t>
  </si>
  <si>
    <t>__export__.sale_order_line_303</t>
  </si>
  <si>
    <t>SO084</t>
  </si>
  <si>
    <t>chumporn</t>
  </si>
  <si>
    <t>บริษัท ไอ.เอส.รีเทล จำกัด</t>
  </si>
  <si>
    <t>__export__.sale_order_line_304</t>
  </si>
  <si>
    <t>__export__.sale_order_line_302</t>
  </si>
  <si>
    <t>SO083</t>
  </si>
  <si>
    <t>คุณอารยา เนตรใจบุญ</t>
  </si>
  <si>
    <t>__export__.sale_order_line_301</t>
  </si>
  <si>
    <t>SO082</t>
  </si>
  <si>
    <t>คุณน้ำฝน นาแสวง</t>
  </si>
  <si>
    <t>__export__.sale_order_line_300</t>
  </si>
  <si>
    <t>SO081</t>
  </si>
  <si>
    <t>คุณพรประภา รินทระ</t>
  </si>
  <si>
    <t>__export__.sale_order_line_299</t>
  </si>
  <si>
    <t>SO080</t>
  </si>
  <si>
    <t>คุณใกล้รุ่ง วงษ์มณีวรรณ์</t>
  </si>
  <si>
    <t>__export__.sale_order_line_298</t>
  </si>
  <si>
    <t>SO079</t>
  </si>
  <si>
    <t>คุณสุวัฒน์ ดิษาภิรมย์</t>
  </si>
  <si>
    <t>__export__.sale_order_line_297</t>
  </si>
  <si>
    <t>SO078</t>
  </si>
  <si>
    <t>คุณเจตตรินทร์</t>
  </si>
  <si>
    <t xml:space="preserve">[BT0216] Baby Bathtub อ่างอาบน้ำเด็กขนาดใหญ่ สีชมพู </t>
  </si>
  <si>
    <t>__export__.sale_order_line_296</t>
  </si>
  <si>
    <t>SO077</t>
  </si>
  <si>
    <t>คุณศศิธร คำนวล</t>
  </si>
  <si>
    <t>__export__.sale_order_line_295</t>
  </si>
  <si>
    <t>SO076</t>
  </si>
  <si>
    <t>คุณทิพย์วิมล ศิริจันทร์</t>
  </si>
  <si>
    <t>__export__.sale_order_line_293</t>
  </si>
  <si>
    <t>SO075</t>
  </si>
  <si>
    <t>คุณศิริกร กสิกิจวรกุล</t>
  </si>
  <si>
    <t>__export__.sale_order_line_294</t>
  </si>
  <si>
    <t>__export__.sale_order_line_292</t>
  </si>
  <si>
    <t>SO074</t>
  </si>
  <si>
    <t>บริษัท เมด แคร์ ดี-เชน จำกัด</t>
  </si>
  <si>
    <t>[AP3014] ไมย์แคร์ แผ่นปิดดูดสิว Day 6</t>
  </si>
  <si>
    <t>__export__.sale_order_line_291</t>
  </si>
  <si>
    <t>SO073</t>
  </si>
  <si>
    <t>บุญสินฟาร์มาซี</t>
  </si>
  <si>
    <t>__export__.sale_order_line_284</t>
  </si>
  <si>
    <t>SO072</t>
  </si>
  <si>
    <t>สุขสวัสดี เฟอร์นิเจอร์</t>
  </si>
  <si>
    <t>__export__.sale_order_line_285</t>
  </si>
  <si>
    <t>__export__.sale_order_line_286</t>
  </si>
  <si>
    <t>__export__.sale_order_line_287</t>
  </si>
  <si>
    <t>[WK3026] รถหัดเดินเด็ก 2in1 สีชมพู</t>
  </si>
  <si>
    <t>__export__.sale_order_line_288</t>
  </si>
  <si>
    <t>[WK3034] รถหัดเดินเด็ก 2in1 สีเขียว</t>
  </si>
  <si>
    <t>__export__.sale_order_line_289</t>
  </si>
  <si>
    <t>__export__.sale_order_line_290</t>
  </si>
  <si>
    <t>[WK3136] รถหัดเดินเด็ก Rock and Run สีชมพู</t>
  </si>
  <si>
    <t>__export__.sale_order_line_281</t>
  </si>
  <si>
    <t>SO071</t>
  </si>
  <si>
    <t>บริษัท รวมพัฒนศิริ จำกัด</t>
  </si>
  <si>
    <t>__export__.sale_order_line_282</t>
  </si>
  <si>
    <t>__export__.sale_order_line_283</t>
  </si>
  <si>
    <t>__export__.sale_order_line_279</t>
  </si>
  <si>
    <t>SO070</t>
  </si>
  <si>
    <t>__export__.sale_order_line_280</t>
  </si>
  <si>
    <t>[AP3114] ไมย์แคร์ แผ่นปิดดูดสิว Night 6</t>
  </si>
  <si>
    <t>__export__.sale_order_line_278</t>
  </si>
  <si>
    <t>SO069</t>
  </si>
  <si>
    <t>[FD1274] กระติกน้ำแบบมีหลอดดูด Sport sipper cup สีเขียว</t>
  </si>
  <si>
    <t>__export__.sale_order_line_276</t>
  </si>
  <si>
    <t>SO068</t>
  </si>
  <si>
    <t>__export__.sale_order_line_277</t>
  </si>
  <si>
    <t>__export__.sale_order_line_275</t>
  </si>
  <si>
    <t>SO067</t>
  </si>
  <si>
    <t>คุณศรีสุดา แสนนันตา</t>
  </si>
  <si>
    <t>[FD1271] กระติกน้ำแบบมีหลอดดูด Sport sipper cup สีฟ้า</t>
  </si>
  <si>
    <t>__export__.sale_order_line_273</t>
  </si>
  <si>
    <t>SO066</t>
  </si>
  <si>
    <t>[SZ405461P2] เครื่องนึ่งขวดนมStandTeflonสีฟ้า สีเขียวP2</t>
  </si>
  <si>
    <t>__export__.sale_order_line_274</t>
  </si>
  <si>
    <t>__export__.sale_order_line_271</t>
  </si>
  <si>
    <t>SO064</t>
  </si>
  <si>
    <t>ร้านขายยาสหมิตร ฟาร์มาซี</t>
  </si>
  <si>
    <t>__export__.sale_order_line_270</t>
  </si>
  <si>
    <t>SO063</t>
  </si>
  <si>
    <t>คุณโยทกา ปัญญาวงค์</t>
  </si>
  <si>
    <t>[SZ4034P1] เครื่องนึ่งขวดนมDyerTeflonสีเขียว P1</t>
  </si>
  <si>
    <t>__export__.sale_order_line_268</t>
  </si>
  <si>
    <t>SO062</t>
  </si>
  <si>
    <t>บริษัท ทเวนตี้โฟร์ ช้อปปิ้ง จำกัด</t>
  </si>
  <si>
    <t>[WK3026P1] รถหัดเดินสำหรับเด็ก2in1สีชมพู P1</t>
  </si>
  <si>
    <t>__export__.sale_order_line_269</t>
  </si>
  <si>
    <t>[WK3011P1] รถหัดเดินสำหรับเด็ก2in1สีฟ้า P1</t>
  </si>
  <si>
    <t>__export__.sale_order_line_266</t>
  </si>
  <si>
    <t>SO061</t>
  </si>
  <si>
    <t xml:space="preserve">บริษัท ลาซาด้า จำกัด </t>
  </si>
  <si>
    <t>[AP3014] ไมย์แคร์ แผ่นปิดดูดสิว เดย์ 6</t>
  </si>
  <si>
    <t>__export__.sale_order_line_267</t>
  </si>
  <si>
    <t xml:space="preserve">[AP3012] ไมย์แคร์ แผ่นปิดดูดสิว เดย์ 12 </t>
  </si>
  <si>
    <t>__export__.sale_order_line_263</t>
  </si>
  <si>
    <t>SO060</t>
  </si>
  <si>
    <t>[WK3034P1] รถหัดเดินสำหรับเด็ก2in1สีเขียว P1</t>
  </si>
  <si>
    <t>__export__.sale_order_line_264</t>
  </si>
  <si>
    <t>__export__.sale_order_line_265</t>
  </si>
  <si>
    <t>__export__.sale_order_line_258</t>
  </si>
  <si>
    <t>SO059</t>
  </si>
  <si>
    <t>[BS7019] โต๊ะนั่งกินข้าวสำหรับเด็กสีขาว น้ำเงิน เขียว P1</t>
  </si>
  <si>
    <t>__export__.sale_order_line_259</t>
  </si>
  <si>
    <t>[SL5017P1] รถเข็นสำหรับเด็ก Miniสีแดง P1</t>
  </si>
  <si>
    <t>__export__.sale_order_line_260</t>
  </si>
  <si>
    <t>[SL5021P1] รถเข็นสำหรับเด็ก Miniสีฟ้า P1</t>
  </si>
  <si>
    <t>__export__.sale_order_line_261</t>
  </si>
  <si>
    <t>[WK3081P1] รถหัดเดินสำหรับเด็กFlowerสีฟ้า P1</t>
  </si>
  <si>
    <t>__export__.sale_order_line_262</t>
  </si>
  <si>
    <t>[WK3096P1] รถหัดเดินสำหรับเด็กFlowerสีชมพู P1</t>
  </si>
  <si>
    <t>__export__.sale_order_line_251</t>
  </si>
  <si>
    <t>SO058</t>
  </si>
  <si>
    <t>ร้านลูกรัก สาขาพิษณุโลก</t>
  </si>
  <si>
    <t>[MP9010W] ปั๊มนมก้านโยก สีขาว P1</t>
  </si>
  <si>
    <t>__export__.sale_order_line_252</t>
  </si>
  <si>
    <t>[EP90212BL] ปั๊มนมไฟฟ้า  สีฟ้า P1</t>
  </si>
  <si>
    <t>__export__.sale_order_line_253</t>
  </si>
  <si>
    <t>[BT0239W] Baby Bath Chair ที่กันลื่น สีขาว</t>
  </si>
  <si>
    <t>__export__.sale_order_line_254</t>
  </si>
  <si>
    <t>[PT8019] กระโถนสำหรับเด็ก 3in1 สีม่วง ขาว P1</t>
  </si>
  <si>
    <t>__export__.sale_order_line_255</t>
  </si>
  <si>
    <t>[SL5077P1] รถเข็นสำหรับเด็กMaxiสีแดง P1</t>
  </si>
  <si>
    <t>__export__.sale_order_line_256</t>
  </si>
  <si>
    <t>[SL5081P1] รถเข็นสำหรับเด็กMaxiสีฟ้า P1</t>
  </si>
  <si>
    <t>__export__.sale_order_line_257</t>
  </si>
  <si>
    <t>[RK1041P1] เปลโยกสำหรับเด็กBearสีฟ้า P1</t>
  </si>
  <si>
    <t>__export__.sale_order_line_250</t>
  </si>
  <si>
    <t>SO057</t>
  </si>
  <si>
    <t>ร้านปันปัน</t>
  </si>
  <si>
    <t>[SL5064P1] รถเข็นสำหรับเด็กMini2สีเขียว P1</t>
  </si>
  <si>
    <t>__export__.sale_order_line_248</t>
  </si>
  <si>
    <t>SO056</t>
  </si>
  <si>
    <t>onanong</t>
  </si>
  <si>
    <t>ร้าน บ้านคุณหนู</t>
  </si>
  <si>
    <t>__export__.sale_order_line_249</t>
  </si>
  <si>
    <t>__export__.sale_order_line_247</t>
  </si>
  <si>
    <t>SO055</t>
  </si>
  <si>
    <t>เป็นหนึ่งนมผง</t>
  </si>
  <si>
    <t>[SZ4034P1] เครื่องนึ่งขวดนมDyerTeflonสีฟ้า P1</t>
  </si>
  <si>
    <t>__export__.sale_order_line_245</t>
  </si>
  <si>
    <t>SO054</t>
  </si>
  <si>
    <t>ร้านเบบี้ช็อป (Dektoy)</t>
  </si>
  <si>
    <t>__export__.sale_order_line_246</t>
  </si>
  <si>
    <t>[EP9024G] ปั๊มนมไฟฟ้า สีเขียว P1</t>
  </si>
  <si>
    <t>__export__.sale_order_line_244</t>
  </si>
  <si>
    <t>SO053</t>
  </si>
  <si>
    <t>Whatsnew Co., Ltd.</t>
  </si>
  <si>
    <t>[SZ4071P1] เครื่องนึ่งขวดนมTimerTeflonสีฟ้า P1</t>
  </si>
  <si>
    <t>__export__.sale_order_line_234</t>
  </si>
  <si>
    <t>SO052</t>
  </si>
  <si>
    <t>[RK1032P1] เปลโยกสำหรับเด็กBear สีน้ำตาล P1</t>
  </si>
  <si>
    <t>__export__.sale_order_line_235</t>
  </si>
  <si>
    <t>__export__.sale_order_line_236</t>
  </si>
  <si>
    <t>__export__.sale_order_line_237</t>
  </si>
  <si>
    <t>__export__.sale_order_line_238</t>
  </si>
  <si>
    <t>__export__.sale_order_line_239</t>
  </si>
  <si>
    <t>[SL5057P1] รถเข็นสำหรับเด็กMini2สีแดง P1</t>
  </si>
  <si>
    <t>__export__.sale_order_line_240</t>
  </si>
  <si>
    <t>__export__.sale_order_line_241</t>
  </si>
  <si>
    <t>__export__.sale_order_line_242</t>
  </si>
  <si>
    <t>[WK3121P1] รถหัดเดินสำหรับเด็ก Rock and Ruk สีฟ้า P1</t>
  </si>
  <si>
    <t>__export__.sale_order_line_243</t>
  </si>
  <si>
    <t>[WK3136P1] รถหัดเดินสำหรับเด็ก Rock and Ruk สีชมพู P1</t>
  </si>
  <si>
    <t>__export__.sale_order_line_309</t>
  </si>
  <si>
    <t>__export__.sale_order_line_310</t>
  </si>
  <si>
    <t>__export__.sale_order_line_224</t>
  </si>
  <si>
    <t>SO051</t>
  </si>
  <si>
    <t>__export__.sale_order_line_225</t>
  </si>
  <si>
    <t>__export__.sale_order_line_226</t>
  </si>
  <si>
    <t>__export__.sale_order_line_227</t>
  </si>
  <si>
    <t>__export__.sale_order_line_228</t>
  </si>
  <si>
    <t>__export__.sale_order_line_229</t>
  </si>
  <si>
    <t>__export__.sale_order_line_230</t>
  </si>
  <si>
    <t>__export__.sale_order_line_231</t>
  </si>
  <si>
    <t>__export__.sale_order_line_232</t>
  </si>
  <si>
    <t>__export__.sale_order_line_233</t>
  </si>
  <si>
    <t>__export__.sale_order_line_307</t>
  </si>
  <si>
    <t>__export__.sale_order_line_308</t>
  </si>
  <si>
    <t>__export__.sale_order_line_222</t>
  </si>
  <si>
    <t>SO050</t>
  </si>
  <si>
    <t>คุณจิ๋ว (Moderncare)</t>
  </si>
  <si>
    <t>[RK1124P1] เปลโยกสำหรับเด็กBear สีน้ำตาลมีมิวสิค P1</t>
  </si>
  <si>
    <t>__export__.sale_order_line_223</t>
  </si>
  <si>
    <t>__export__.sale_order_line_221</t>
  </si>
  <si>
    <t>SO049</t>
  </si>
  <si>
    <t>ร้านวัตสัน</t>
  </si>
  <si>
    <t>__export__.sale_order_line_219</t>
  </si>
  <si>
    <t>SO048</t>
  </si>
  <si>
    <t>บริษัท ฟาร์มาฮอฟ จำกัด</t>
  </si>
  <si>
    <t>__export__.sale_order_line_220</t>
  </si>
  <si>
    <t>[AP3114] ไมย์แคร์ แผ่นปิดดูดสิว ไนท์ 6</t>
  </si>
  <si>
    <t>__export__.sale_order_line_216</t>
  </si>
  <si>
    <t>SO047</t>
  </si>
  <si>
    <t>ใบหม่อน</t>
  </si>
  <si>
    <t>[ABR1014P] แปรงล้างขวดนมและจุกนมสีชมพู ขายเป็นชิ้น</t>
  </si>
  <si>
    <t>__export__.sale_order_line_217</t>
  </si>
  <si>
    <t>[ABR1014B] แปรงล้างขวดนมและจุกนมสีฟ้า ขายเป็นชิ้น</t>
  </si>
  <si>
    <t>__export__.sale_order_line_218</t>
  </si>
  <si>
    <t>__export__.sale_order_line_199</t>
  </si>
  <si>
    <t>SO046</t>
  </si>
  <si>
    <t>ไท-ทอยส์ 1323</t>
  </si>
  <si>
    <t>__export__.sale_order_line_200</t>
  </si>
  <si>
    <t>__export__.sale_order_line_201</t>
  </si>
  <si>
    <t>__export__.sale_order_line_202</t>
  </si>
  <si>
    <t>__export__.sale_order_line_203</t>
  </si>
  <si>
    <t>[SL5054P1] รถเข็นสำหรับเด็กcompactสีเขียว P1</t>
  </si>
  <si>
    <t>__export__.sale_order_line_204</t>
  </si>
  <si>
    <t>[SL5031P1] รถเข็นสำหรับเด็กcompactสีฟ้า P1</t>
  </si>
  <si>
    <t>__export__.sale_order_line_205</t>
  </si>
  <si>
    <t>[SL5047P1] รถเข็นสำหรับเด็กcompactสีแดง P1</t>
  </si>
  <si>
    <t>__export__.sale_order_line_206</t>
  </si>
  <si>
    <t>__export__.sale_order_line_207</t>
  </si>
  <si>
    <t>__export__.sale_order_line_208</t>
  </si>
  <si>
    <t>__export__.sale_order_line_209</t>
  </si>
  <si>
    <t>__export__.sale_order_line_210</t>
  </si>
  <si>
    <t>__export__.sale_order_line_211</t>
  </si>
  <si>
    <t>__export__.sale_order_line_212</t>
  </si>
  <si>
    <t>__export__.sale_order_line_213</t>
  </si>
  <si>
    <t>[RK1017P1] เปลโยกสำหรับเด็กMusicสีฟ้า P1</t>
  </si>
  <si>
    <t>__export__.sale_order_line_214</t>
  </si>
  <si>
    <t>[RK1024P1] เปลโยกสำหรับเด็กMusicสีเขียว P1</t>
  </si>
  <si>
    <t>__export__.sale_order_line_215</t>
  </si>
  <si>
    <t>[RK1061P1] เปลโยกสำหรับเด็กToyสีฟ้า P1</t>
  </si>
  <si>
    <t>__export__.sale_order_line_184</t>
  </si>
  <si>
    <t>SO045</t>
  </si>
  <si>
    <t xml:space="preserve">I.S. Retail Co., Ltd. </t>
  </si>
  <si>
    <t>[PP1107] เตียงนอนสำหรับเด็ก PlayPen</t>
  </si>
  <si>
    <t>__export__.sale_order_line_185</t>
  </si>
  <si>
    <t>__export__.sale_order_line_186</t>
  </si>
  <si>
    <t>__export__.sale_order_line_187</t>
  </si>
  <si>
    <t>__export__.sale_order_line_188</t>
  </si>
  <si>
    <t>__export__.sale_order_line_189</t>
  </si>
  <si>
    <t>__export__.sale_order_line_190</t>
  </si>
  <si>
    <t>[BT0239W] baby bathtub ที่รองนั่งกันลื่นสำหรับเด็ก สีขาว</t>
  </si>
  <si>
    <t>__export__.sale_order_line_191</t>
  </si>
  <si>
    <t>[ABR10021] MCแปรงล้างขวดนมแบบหมุนสีเขียวขายเป็นชิ้น</t>
  </si>
  <si>
    <t>__export__.sale_order_line_192</t>
  </si>
  <si>
    <t>[ABR10014] MCแปรงล้างขวดนมแบบหมุนสีฟ้าขายเป็นชิ้น</t>
  </si>
  <si>
    <t>__export__.sale_order_line_193</t>
  </si>
  <si>
    <t>__export__.sale_order_line_194</t>
  </si>
  <si>
    <t>__export__.sale_order_line_196</t>
  </si>
  <si>
    <t>__export__.sale_order_line_197</t>
  </si>
  <si>
    <t>[RK1056P1] เปลโยกสำหรับเด็กToyสีชมพู P1</t>
  </si>
  <si>
    <t>__export__.sale_order_line_198</t>
  </si>
  <si>
    <t>__export__.sale_order_line_166</t>
  </si>
  <si>
    <t>SO044</t>
  </si>
  <si>
    <t>ร้านบ้านรักษ์เด็กปลวกแดง</t>
  </si>
  <si>
    <t>[PT0827] Baby Potty กระโถนเครื่องบิน สีแดง</t>
  </si>
  <si>
    <t>__export__.sale_order_line_167</t>
  </si>
  <si>
    <t>[PT0824] Baby Potty กระโถนเครื่องบิน สีเขียว</t>
  </si>
  <si>
    <t>__export__.sale_order_line_168</t>
  </si>
  <si>
    <t>[PT0821] Baby Potty กระโถนเครื่องบิน สีฟ้า</t>
  </si>
  <si>
    <t>__export__.sale_order_line_169</t>
  </si>
  <si>
    <t>__export__.sale_order_line_170</t>
  </si>
  <si>
    <t>__export__.sale_order_line_171</t>
  </si>
  <si>
    <t>[WK3046P1] รถหัดเดินสำหรับเด็กFishสีชมพู P1</t>
  </si>
  <si>
    <t>__export__.sale_order_line_172</t>
  </si>
  <si>
    <t>[WK3051P1] รถหัดเดินสำหรับเด็กFishสีฟ้า P1</t>
  </si>
  <si>
    <t>__export__.sale_order_line_173</t>
  </si>
  <si>
    <t>__export__.sale_order_line_174</t>
  </si>
  <si>
    <t>__export__.sale_order_line_175</t>
  </si>
  <si>
    <t>__export__.sale_order_line_176</t>
  </si>
  <si>
    <t>[BT2021P1] อ่างอาบน้ำสำหรับเด็กยกระดับสีฟ้า P1</t>
  </si>
  <si>
    <t>__export__.sale_order_line_177</t>
  </si>
  <si>
    <t>[BT2019P1] อ่างอาบน้ำสำหรับเด็กยกระดับสีขาว P1</t>
  </si>
  <si>
    <t>__export__.sale_order_line_178</t>
  </si>
  <si>
    <t>__export__.sale_order_line_179</t>
  </si>
  <si>
    <t>__export__.sale_order_line_180</t>
  </si>
  <si>
    <t>[BT0221B] baby bathtub อ่างอาบน้ำเด็กขนาดเล็ก สีฟ้า</t>
  </si>
  <si>
    <t>__export__.sale_order_line_181</t>
  </si>
  <si>
    <t>__export__.sale_order_line_182</t>
  </si>
  <si>
    <t>__export__.sale_order_line_183</t>
  </si>
  <si>
    <t>__export__.sale_order_line_162</t>
  </si>
  <si>
    <t>SO043</t>
  </si>
  <si>
    <t>chalermpol</t>
  </si>
  <si>
    <t>ร้าน แฮปปี้คิดส์</t>
  </si>
  <si>
    <t>__export__.sale_order_line_163</t>
  </si>
  <si>
    <t>[SZ4061P1] เครื่องนึ่งขวดนม StandTeflonสีฟ้า P1</t>
  </si>
  <si>
    <t>__export__.sale_order_line_164</t>
  </si>
  <si>
    <t>[SZ4054P1] เครื่องนึ่งขวดนม StandTeflonสีเขียว P1</t>
  </si>
  <si>
    <t>__export__.sale_order_line_165</t>
  </si>
  <si>
    <t>__export__.sale_order_line_160</t>
  </si>
  <si>
    <t>SO042</t>
  </si>
  <si>
    <t>__export__.sale_order_line_161</t>
  </si>
  <si>
    <t>[AP3112] ไมย์แคร์ แผ่นปิดดูดสิว ไนท์ 12</t>
  </si>
  <si>
    <t>__export__.sale_order_line_155</t>
  </si>
  <si>
    <t>SO041</t>
  </si>
  <si>
    <t>__export__.sale_order_line_156</t>
  </si>
  <si>
    <t>[ABR1014P12] แปรงล้างขวดนมและจุกนมสีฟ้า สีชมพู ขายเป็นโหล</t>
  </si>
  <si>
    <t>__export__.sale_order_line_158</t>
  </si>
  <si>
    <t>__export__.sale_order_line_153</t>
  </si>
  <si>
    <t>SO039</t>
  </si>
  <si>
    <t>คุณนงลักษณ์ ทัศนาวรากุล</t>
  </si>
  <si>
    <t>__export__.sale_order_line_151</t>
  </si>
  <si>
    <t>SO038</t>
  </si>
  <si>
    <t>คุณเท็น (Moderncare)</t>
  </si>
  <si>
    <t>__export__.sale_order_line_152</t>
  </si>
  <si>
    <t>[FD1274P6] กระติกน้ำแบบมีหลอดดูด Sport sipper cup คละสี P6</t>
  </si>
  <si>
    <t>__export__.sale_order_line_149</t>
  </si>
  <si>
    <t>SO037</t>
  </si>
  <si>
    <t>คุณแบงค์ (Moderncare)</t>
  </si>
  <si>
    <t>__export__.sale_order_line_150</t>
  </si>
  <si>
    <t>__export__.sale_order_line_148</t>
  </si>
  <si>
    <t>SO036</t>
  </si>
  <si>
    <t>บริษัท ซี ดิสทริบิวชั่น (ประเทศไทย) จำกัด</t>
  </si>
  <si>
    <t>__export__.sale_order_line_140</t>
  </si>
  <si>
    <t>SO035</t>
  </si>
  <si>
    <t>ร้านบิ๊กเจซุปเปอร์สโตร์ (คุณชวการ บุญชัยสุข)</t>
  </si>
  <si>
    <t>__export__.sale_order_line_141</t>
  </si>
  <si>
    <t>__export__.sale_order_line_142</t>
  </si>
  <si>
    <t>__export__.sale_order_line_143</t>
  </si>
  <si>
    <t>__export__.sale_order_line_144</t>
  </si>
  <si>
    <t>__export__.sale_order_line_145</t>
  </si>
  <si>
    <t>__export__.sale_order_line_146</t>
  </si>
  <si>
    <t>__export__.sale_order_line_147</t>
  </si>
  <si>
    <t>__export__.sale_order_line_136</t>
  </si>
  <si>
    <t>SO034</t>
  </si>
  <si>
    <t>ร้าน เบบี้ เฮ้าส์</t>
  </si>
  <si>
    <t>[BT2031P1] อ่างอาบน้ำสำหรับเด็กขอบจับสีฟ้า P1</t>
  </si>
  <si>
    <t>__export__.sale_order_line_137</t>
  </si>
  <si>
    <t>[BT2046P1] อ่างอาบน้ำสำหรับเด็กขอบจับสีชมพู P1</t>
  </si>
  <si>
    <t>__export__.sale_order_line_138</t>
  </si>
  <si>
    <t>[SZ4041P1] เครื่องนึ่งขวดนมDyerTeflonสีเขียว P1</t>
  </si>
  <si>
    <t>__export__.sale_order_line_139</t>
  </si>
  <si>
    <t>__export__.sale_order_line_135</t>
  </si>
  <si>
    <t>SO033</t>
  </si>
  <si>
    <t>__export__.sale_order_line_134</t>
  </si>
  <si>
    <t>SO032</t>
  </si>
  <si>
    <t>ร้าน Orangetoys (คุณส้ม)</t>
  </si>
  <si>
    <t>__export__.sale_order_line_121</t>
  </si>
  <si>
    <t>SO030</t>
  </si>
  <si>
    <t>เบบี้พลัส พิษณุโลก</t>
  </si>
  <si>
    <t>__export__.sale_order_line_122</t>
  </si>
  <si>
    <t>__export__.sale_order_line_123</t>
  </si>
  <si>
    <t>__export__.sale_order_line_124</t>
  </si>
  <si>
    <t>__export__.sale_order_line_125</t>
  </si>
  <si>
    <t>__export__.sale_order_line_126</t>
  </si>
  <si>
    <t>__export__.sale_order_line_116</t>
  </si>
  <si>
    <t>SO029</t>
  </si>
  <si>
    <t>ร้าน เบบี้คิดส์ดรัก</t>
  </si>
  <si>
    <t>__export__.sale_order_line_117</t>
  </si>
  <si>
    <t>__export__.sale_order_line_118</t>
  </si>
  <si>
    <t>__export__.sale_order_line_119</t>
  </si>
  <si>
    <t>__export__.sale_order_line_105</t>
  </si>
  <si>
    <t>SO028</t>
  </si>
  <si>
    <t>ร้านเทพประทาน</t>
  </si>
  <si>
    <t>__export__.sale_order_line_106</t>
  </si>
  <si>
    <t>__export__.sale_order_line_107</t>
  </si>
  <si>
    <t>__export__.sale_order_line_108</t>
  </si>
  <si>
    <t>__export__.sale_order_line_109</t>
  </si>
  <si>
    <t>__export__.sale_order_line_110</t>
  </si>
  <si>
    <t>__export__.sale_order_line_111</t>
  </si>
  <si>
    <t>__export__.sale_order_line_112</t>
  </si>
  <si>
    <t>__export__.sale_order_line_113</t>
  </si>
  <si>
    <t>__export__.sale_order_line_114</t>
  </si>
  <si>
    <t>__export__.sale_order_line_115</t>
  </si>
  <si>
    <t>__export__.sale_order_line_104</t>
  </si>
  <si>
    <t>SO027</t>
  </si>
  <si>
    <t>เจนนิรา ประดับพลอย</t>
  </si>
  <si>
    <t>__export__.sale_order_line_102</t>
  </si>
  <si>
    <t>SO026</t>
  </si>
  <si>
    <t>สุดารัตน์ มีถาวรกุล</t>
  </si>
  <si>
    <t>[BT0226P] baby bathtub อ่างอาบน้ำเด็กขนาดเล็ก สีชมพู</t>
  </si>
  <si>
    <t>__export__.sale_order_line_103</t>
  </si>
  <si>
    <t>__export__.sale_order_line_101</t>
  </si>
  <si>
    <t>SO025</t>
  </si>
  <si>
    <t>คุณฉัตรรวี</t>
  </si>
  <si>
    <t>__export__.sale_order_line_96</t>
  </si>
  <si>
    <t>SO023</t>
  </si>
  <si>
    <t>__export__.sale_order_line_97</t>
  </si>
  <si>
    <t>__export__.sale_order_line_95</t>
  </si>
  <si>
    <t>SO022</t>
  </si>
  <si>
    <t>__export__.sale_order_line_92</t>
  </si>
  <si>
    <t>SO021</t>
  </si>
  <si>
    <t>ร้านเสื้อผ้าเด็ก (ปราจีน)</t>
  </si>
  <si>
    <t>__export__.sale_order_line_93</t>
  </si>
  <si>
    <t>__export__.sale_order_line_94</t>
  </si>
  <si>
    <t>__export__.sale_order_line_89</t>
  </si>
  <si>
    <t>SO020</t>
  </si>
  <si>
    <t>ร้าน เบบี้โฮม (ปราจีน)</t>
  </si>
  <si>
    <t>__export__.sale_order_line_90</t>
  </si>
  <si>
    <t>__export__.sale_order_line_91</t>
  </si>
  <si>
    <t>__export__.sale_order_line_83</t>
  </si>
  <si>
    <t>SO019</t>
  </si>
  <si>
    <t>ร้านนิคมยาน</t>
  </si>
  <si>
    <t>[SL501721P1] รถเข็นสำหรับเด็กMiniสีแดง สีฟ้า P1</t>
  </si>
  <si>
    <t>__export__.sale_order_line_84</t>
  </si>
  <si>
    <t>__export__.sale_order_line_85</t>
  </si>
  <si>
    <t>__export__.sale_order_line_86</t>
  </si>
  <si>
    <t>[SL506457P1] รถเข็นสำหรับเด็กMini2สีแดง สีเขียว P1</t>
  </si>
  <si>
    <t>__export__.sale_order_line_87</t>
  </si>
  <si>
    <t>__export__.sale_order_line_88</t>
  </si>
  <si>
    <t>__export__.sale_order_line_77</t>
  </si>
  <si>
    <t>SO018</t>
  </si>
  <si>
    <t>คุณภูริพัท นาเสียง</t>
  </si>
  <si>
    <t>__export__.sale_order_line_78</t>
  </si>
  <si>
    <t>__export__.sale_order_line_79</t>
  </si>
  <si>
    <t>__export__.sale_order_line_80</t>
  </si>
  <si>
    <t>__export__.sale_order_line_81</t>
  </si>
  <si>
    <t>[BT2058P1] อ่างอาบน้ำสำหรับเด็กยกระดับสีเหลือง P1</t>
  </si>
  <si>
    <t>__export__.sale_order_line_82</t>
  </si>
  <si>
    <t>__export__.sale_order_line_72</t>
  </si>
  <si>
    <t>SO017</t>
  </si>
  <si>
    <t>ร้านโมเเอนด์มนต์</t>
  </si>
  <si>
    <t>__export__.sale_order_line_73</t>
  </si>
  <si>
    <t>__export__.sale_order_line_74</t>
  </si>
  <si>
    <t>__export__.sale_order_line_75</t>
  </si>
  <si>
    <t>__export__.sale_order_line_76</t>
  </si>
  <si>
    <t>__export__.sale_order_line_71</t>
  </si>
  <si>
    <t>SO016</t>
  </si>
  <si>
    <t>ร้านศักดิ์จักรยาน</t>
  </si>
  <si>
    <t>__export__.sale_order_line_98</t>
  </si>
  <si>
    <t>__export__.sale_order_line_65</t>
  </si>
  <si>
    <t>SO015</t>
  </si>
  <si>
    <t>ร้านพัฒนาโชค</t>
  </si>
  <si>
    <t>__export__.sale_order_line_66</t>
  </si>
  <si>
    <t>[SL501721P1] รถเข็นสำหรับเด็กMiniสีฟ้า P1</t>
  </si>
  <si>
    <t>__export__.sale_order_line_67</t>
  </si>
  <si>
    <t>__export__.sale_order_line_68</t>
  </si>
  <si>
    <t>[SL506457P1] รถเข็นสำหรับเด็กMini2สีเขียว P1</t>
  </si>
  <si>
    <t>__export__.sale_order_line_69</t>
  </si>
  <si>
    <t>__export__.sale_order_line_70</t>
  </si>
  <si>
    <t>__export__.sale_order_line_59</t>
  </si>
  <si>
    <t>SO014</t>
  </si>
  <si>
    <t>ร้านลำทะเมนชัยจักรยาน</t>
  </si>
  <si>
    <t>__export__.sale_order_line_60</t>
  </si>
  <si>
    <t>__export__.sale_order_line_61</t>
  </si>
  <si>
    <t>__export__.sale_order_line_62</t>
  </si>
  <si>
    <t>__export__.sale_order_line_63</t>
  </si>
  <si>
    <t>__export__.sale_order_line_64</t>
  </si>
  <si>
    <t>__export__.sale_order_line_56</t>
  </si>
  <si>
    <t>SO013</t>
  </si>
  <si>
    <t>__export__.sale_order_line_57</t>
  </si>
  <si>
    <t>__export__.sale_order_line_58</t>
  </si>
  <si>
    <t>__export__.sale_order_line_53</t>
  </si>
  <si>
    <t>SO012</t>
  </si>
  <si>
    <t>__export__.sale_order_line_54</t>
  </si>
  <si>
    <t>__export__.sale_order_line_55</t>
  </si>
  <si>
    <t>__export__.sale_order_line_42</t>
  </si>
  <si>
    <t>SO011</t>
  </si>
  <si>
    <t>ร้านต้นอ้อยเบบี้ช็อป</t>
  </si>
  <si>
    <t>__export__.sale_order_line_43</t>
  </si>
  <si>
    <t xml:space="preserve">[WK3076P1] รถหัดเดินสำหรับเด็กDelux4in1สีชมพู P1 </t>
  </si>
  <si>
    <t>__export__.sale_order_line_44</t>
  </si>
  <si>
    <t>[WK3061P1] รถหัดเดินสำหรับเด็กDelux4in1สีฟ้า P1</t>
  </si>
  <si>
    <t>__export__.sale_order_line_45</t>
  </si>
  <si>
    <t>__export__.sale_order_line_46</t>
  </si>
  <si>
    <t>__export__.sale_order_line_47</t>
  </si>
  <si>
    <t>__export__.sale_order_line_48</t>
  </si>
  <si>
    <t>__export__.sale_order_line_49</t>
  </si>
  <si>
    <t>__export__.sale_order_line_50</t>
  </si>
  <si>
    <t>__export__.sale_order_line_51</t>
  </si>
  <si>
    <t>__export__.sale_order_line_52</t>
  </si>
  <si>
    <t>__export__.sale_order_line_29</t>
  </si>
  <si>
    <t>SO010</t>
  </si>
  <si>
    <t>ร้านบอสแอนด์บีม</t>
  </si>
  <si>
    <t>__export__.sale_order_line_30</t>
  </si>
  <si>
    <t>__export__.sale_order_line_31</t>
  </si>
  <si>
    <t>__export__.sale_order_line_32</t>
  </si>
  <si>
    <t>__export__.sale_order_line_33</t>
  </si>
  <si>
    <t>__export__.sale_order_line_34</t>
  </si>
  <si>
    <t>__export__.sale_order_line_35</t>
  </si>
  <si>
    <t>__export__.sale_order_line_36</t>
  </si>
  <si>
    <t>__export__.sale_order_line_37</t>
  </si>
  <si>
    <t>__export__.sale_order_line_38</t>
  </si>
  <si>
    <t>__export__.sale_order_line_39</t>
  </si>
  <si>
    <t>__export__.sale_order_line_40</t>
  </si>
  <si>
    <t>__export__.sale_order_line_41</t>
  </si>
  <si>
    <t>__export__.sale_order_line_15</t>
  </si>
  <si>
    <t>SO008</t>
  </si>
  <si>
    <t>บริษัท บิ๊กซี ซูเปอร์เซ็นเตอร์ จำกัด (มหาชน) (สาขาสุราษฎร์ธานี)</t>
  </si>
  <si>
    <t>รถหัดเดินสำหรับเด็กFishสีฟ้า P1</t>
  </si>
  <si>
    <t>__export__.sale_order_line_13</t>
  </si>
  <si>
    <t>SO007</t>
  </si>
  <si>
    <t>บริษัท บิ๊กซี ซูเปอร์เซ็นเตอร์ จำกัด (มหาชน) (สาขาเพชรบุรี)</t>
  </si>
  <si>
    <t>__export__.sale_order_line_14</t>
  </si>
  <si>
    <t>รถเข็นสำหรับเด็กMaxiสีฟ้า สีแดง P1</t>
  </si>
  <si>
    <t>__export__.sale_order_line_11</t>
  </si>
  <si>
    <t>SO006</t>
  </si>
  <si>
    <t>บริษัท บิ๊กซี ซูเปอร์เซ็นเตอร์ จำกัด (มหาชน) (สาขาหัวหมาก)</t>
  </si>
  <si>
    <t>__export__.sale_order_line_12</t>
  </si>
  <si>
    <t>รถเข็นสำหรับเด็กMiniสีแดง สีฟ้า P1</t>
  </si>
  <si>
    <t>__export__.sale_order_line_10</t>
  </si>
  <si>
    <t>SO005</t>
  </si>
  <si>
    <t>บริษัท บิ๊กซี ซูเปอร์เซ็นเตอร์ จำกัด (มหาชน) (สาขาลพบุรี)</t>
  </si>
  <si>
    <t>MCแปรงล้างขวดนมแบบหมุนสีฟ้า สีเขียว 1 โหล</t>
  </si>
  <si>
    <t>__export__.sale_order_line_8</t>
  </si>
  <si>
    <t>SO004</t>
  </si>
  <si>
    <t>บมจ. บิ๊กซี ซูเปอร์เซ็นเตอร์ (คลังบางนา)</t>
  </si>
  <si>
    <t>ไมย์แคร์ แผ่นปิดดูดสิว เดย์ 6</t>
  </si>
  <si>
    <t>__export__.sale_order_line_9</t>
  </si>
  <si>
    <t>ไมย์แคร์ แผ่นปิดดูดสิว ไนท์ 6</t>
  </si>
  <si>
    <t>__export__.sale_order_line_3</t>
  </si>
  <si>
    <t>SO003</t>
  </si>
  <si>
    <t>วรรัตน์ อธิโรจน์ (ร้านกะปุกตัง XXL)</t>
  </si>
  <si>
    <t>__export__.sale_order_line_4</t>
  </si>
  <si>
    <t>__export__.sale_order_line_5</t>
  </si>
  <si>
    <t>__export__.sale_order_line_6</t>
  </si>
  <si>
    <t>__export__.sale_order_line_7</t>
  </si>
  <si>
    <t>(All)</t>
  </si>
  <si>
    <t>Row Labels</t>
  </si>
  <si>
    <t>Grand Total</t>
  </si>
  <si>
    <t>Sales Reports</t>
  </si>
  <si>
    <t>SubTotal with Tax</t>
  </si>
  <si>
    <t>Sum of SubTotal with Tax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</si>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</sst>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nfoMobius" refreshedDate="41970.953021296293" createdVersion="5" refreshedVersion="5" minRefreshableVersion="3" recordCount="371">
  <cacheSource type="worksheet">
    <worksheetSource ref="A1:R372" sheet="Sheet1"/>
  </cacheSource>
  <cacheFields count="18">
    <cacheField name="External ID" numFmtId="0">
      <sharedItems/>
    </cacheField>
    <cacheField name="Order Reference/Order Reference" numFmtId="0">
      <sharedItems count="114">
        <s v="SO121"/>
        <s v="SO120"/>
        <s v="SO119"/>
        <s v="SO118"/>
        <s v="SO117"/>
        <s v="SO116"/>
        <s v="SO115"/>
        <s v="SO114"/>
        <s v="SO113"/>
        <s v="SO112"/>
        <s v="SO111"/>
        <s v="SO110"/>
        <s v="SO109"/>
        <s v="SO108"/>
        <s v="SO107"/>
        <s v="SO106"/>
        <s v="SO105"/>
        <s v="SO104"/>
        <s v="SO103"/>
        <s v="SO102"/>
        <s v="SO101"/>
        <s v="SO100"/>
        <s v="SO099"/>
        <s v="SO098"/>
        <s v="SO097"/>
        <s v="SO096"/>
        <s v="SO095"/>
        <s v="SO094"/>
        <s v="SO093"/>
        <s v="SO092"/>
        <s v="SO091"/>
        <s v="SO090"/>
        <s v="SO089"/>
        <s v="SO088"/>
        <s v="SO087"/>
        <s v="SO086"/>
        <s v="SO085"/>
        <s v="SO084"/>
        <s v="SO083"/>
        <s v="SO082"/>
        <s v="SO081"/>
        <s v="SO080"/>
        <s v="SO079"/>
        <s v="SO078"/>
        <s v="SO077"/>
        <s v="SO076"/>
        <s v="SO075"/>
        <s v="SO074"/>
        <s v="SO073"/>
        <s v="SO072"/>
        <s v="SO071"/>
        <s v="SO070"/>
        <s v="SO069"/>
        <s v="SO068"/>
        <s v="SO067"/>
        <s v="SO066"/>
        <s v="SO064"/>
        <s v="SO063"/>
        <s v="SO062"/>
        <s v="SO061"/>
        <s v="SO060"/>
        <s v="SO059"/>
        <s v="SO058"/>
        <s v="SO057"/>
        <s v="SO056"/>
        <s v="SO055"/>
        <s v="SO054"/>
        <s v="SO053"/>
        <s v="SO052"/>
        <s v="SO051"/>
        <s v="SO050"/>
        <s v="SO049"/>
        <s v="SO048"/>
        <s v="SO047"/>
        <s v="SO046"/>
        <s v="SO045"/>
        <s v="SO044"/>
        <s v="SO043"/>
        <s v="SO042"/>
        <s v="SO041"/>
        <s v="SO039"/>
        <s v="SO038"/>
        <s v="SO037"/>
        <s v="SO036"/>
        <s v="SO035"/>
        <s v="SO034"/>
        <s v="SO033"/>
        <s v="SO032"/>
        <s v="SO030"/>
        <s v="SO029"/>
        <s v="SO028"/>
        <s v="SO027"/>
        <s v="SO026"/>
        <s v="SO025"/>
        <s v="SO023"/>
        <s v="SO022"/>
        <s v="SO021"/>
        <s v="SO020"/>
        <s v="SO019"/>
        <s v="SO018"/>
        <s v="SO017"/>
        <s v="SO016"/>
        <s v="SO015"/>
        <s v="SO014"/>
        <s v="SO013"/>
        <s v="SO012"/>
        <s v="SO011"/>
        <s v="SO010"/>
        <s v="SO008"/>
        <s v="SO007"/>
        <s v="SO006"/>
        <s v="SO005"/>
        <s v="SO004"/>
        <s v="SO003"/>
      </sharedItems>
    </cacheField>
    <cacheField name="Order Reference/Date" numFmtId="14">
      <sharedItems containsSemiMixedTypes="0" containsNonDate="0" containsDate="1" containsString="0" minDate="2014-11-11T00:00:00" maxDate="2014-11-28T00:00:00" count="11">
        <d v="2014-11-27T00:00:00"/>
        <d v="2014-11-26T00:00:00"/>
        <d v="2014-11-25T00:00:00"/>
        <d v="2014-11-24T00:00:00"/>
        <d v="2014-11-21T00:00:00"/>
        <d v="2014-11-20T00:00:00"/>
        <d v="2014-11-19T00:00:00"/>
        <d v="2014-11-18T00:00:00"/>
        <d v="2014-11-17T00:00:00"/>
        <d v="2014-11-14T00:00:00"/>
        <d v="2014-11-11T00:00:00"/>
      </sharedItems>
    </cacheField>
    <cacheField name="Status" numFmtId="0">
      <sharedItems count="3">
        <s v="Confirmed"/>
        <s v="Draft"/>
        <s v="Done"/>
      </sharedItems>
    </cacheField>
    <cacheField name="Salesperson/Name" numFmtId="0">
      <sharedItems count="8">
        <s v="kiikie"/>
        <s v="suphathanjira"/>
        <s v="kitchapat"/>
        <s v="jarunee"/>
        <s v="Administrator"/>
        <s v="chumporn"/>
        <s v="onanong"/>
        <s v="chalermpol"/>
      </sharedItems>
    </cacheField>
    <cacheField name="Customer/Name" numFmtId="0">
      <sharedItems count="94">
        <s v="ร้าน See Baby"/>
        <s v="สบายออนไลน์ (ร้าน Mom 2 Kids)"/>
        <s v="บ้านผิงผิง"/>
        <s v="คุณซูซาน แซเลาะ"/>
        <s v="คุณแพท"/>
        <s v="ร้านเบบี้เวิร์ค อ้อมใหญ่"/>
        <s v="พรบีบี"/>
        <s v="MARC ARNEY OREIRO"/>
        <s v="คุณชลธิชา ฟ้ากระจ่าง"/>
        <s v="คุณกุหลาบ มูลศาสตร์"/>
        <s v="คุณนริศรา สุวรรณภูมิ"/>
        <s v="คุณสิริทิพย์ ฉิมเกตุ"/>
        <s v="คุณณัฐพรรณ สิทธิ์ศิร"/>
        <s v="คุณจุฑามาศ ทวีคูณ"/>
        <s v="นายวิชาญ โพชา"/>
        <s v="คุณอัจฉริยา สุโพธิ์ภาค"/>
        <s v="คุณสาวิตรี สอนสะอดา"/>
        <s v="คุณเสฏฐวุฒิ ผ่านวิริยะกุลชัย"/>
        <s v="คุณฐาปกรณ์ จันต๊ะสุข"/>
        <s v="คุณเจนตา เรืองทวีป"/>
        <s v="บริษัท เอก-ชัย ดิสทริบิวชั่น ซิสเทม จำกัด สาขาบางบัวทอง"/>
        <s v="ร้านลูกรัก สาขาหน้าโรงพยาบาลศูนย์ยะลา (ตรงข้าม)"/>
        <s v="ร้านลูกรัก สาขาหน้าโรงพยาบาลหาดใหญ่ (ตรงข้าม)"/>
        <s v="บริษัท เอก-ชัย ดิสทริบิวชั่น ซิสเทม จำกัด สาขาสามโคก"/>
        <s v="บริษัท เอก-ชัย ดิสทริบิวชั่น ซิสเทม จำกัด สาขาวังน้อย"/>
        <s v="คุณฐิตารีย์ คงทอง"/>
        <s v="บริษัท พี.วี.เอส.อินเตอร์เทรด จำกัด สำนักงานใหญ่"/>
        <s v="คุณพงษ์สันต์ มะใบ"/>
        <s v="คุณลดา ชัยวงค์"/>
        <s v="คุณธิดารัตน์ เทียมรัตน์"/>
        <s v="บริษัท ดีพีพี อินเตอร์เทรด จำกัด"/>
        <s v="Boots Retail (Thailand) Ltd."/>
        <s v="บริษัท ไอ.เอส.รีเทล จำกัด"/>
        <s v="คุณอารยา เนตรใจบุญ"/>
        <s v="คุณน้ำฝน นาแสวง"/>
        <s v="คุณพรประภา รินทระ"/>
        <s v="คุณใกล้รุ่ง วงษ์มณีวรรณ์"/>
        <s v="คุณสุวัฒน์ ดิษาภิรมย์"/>
        <s v="คุณเจตตรินทร์"/>
        <s v="คุณศศิธร คำนวล"/>
        <s v="คุณทิพย์วิมล ศิริจันทร์"/>
        <s v="คุณศิริกร กสิกิจวรกุล"/>
        <s v="บริษัท เมด แคร์ ดี-เชน จำกัด"/>
        <s v="บุญสินฟาร์มาซี"/>
        <s v="สุขสวัสดี เฟอร์นิเจอร์"/>
        <s v="บริษัท รวมพัฒนศิริ จำกัด"/>
        <s v="คุณศรีสุดา แสนนันตา"/>
        <s v="ร้านขายยาสหมิตร ฟาร์มาซี"/>
        <s v="คุณโยทกา ปัญญาวงค์"/>
        <s v="บริษัท ทเวนตี้โฟร์ ช้อปปิ้ง จำกัด"/>
        <s v="บริษัท ลาซาด้า จำกัด "/>
        <s v="ร้านลูกรัก สาขาพิษณุโลก"/>
        <s v="ร้านปันปัน"/>
        <s v="ร้าน บ้านคุณหนู"/>
        <s v="เป็นหนึ่งนมผง"/>
        <s v="ร้านเบบี้ช็อป (Dektoy)"/>
        <s v="Whatsnew Co., Ltd."/>
        <s v="คุณจิ๋ว (Moderncare)"/>
        <s v="ร้านวัตสัน"/>
        <s v="บริษัท ฟาร์มาฮอฟ จำกัด"/>
        <s v="ใบหม่อน"/>
        <s v="ไท-ทอยส์ 1323"/>
        <s v="I.S. Retail Co., Ltd. "/>
        <s v="ร้านบ้านรักษ์เด็กปลวกแดง"/>
        <s v="ร้าน แฮปปี้คิดส์"/>
        <s v="คุณนงลักษณ์ ทัศนาวรากุล"/>
        <s v="คุณเท็น (Moderncare)"/>
        <s v="คุณแบงค์ (Moderncare)"/>
        <s v="บริษัท ซี ดิสทริบิวชั่น (ประเทศไทย) จำกัด"/>
        <s v="ร้านบิ๊กเจซุปเปอร์สโตร์ (คุณชวการ บุญชัยสุข)"/>
        <s v="ร้าน เบบี้ เฮ้าส์"/>
        <s v="ร้าน Orangetoys (คุณส้ม)"/>
        <s v="เบบี้พลัส พิษณุโลก"/>
        <s v="ร้าน เบบี้คิดส์ดรัก"/>
        <s v="ร้านเทพประทาน"/>
        <s v="เจนนิรา ประดับพลอย"/>
        <s v="สุดารัตน์ มีถาวรกุล"/>
        <s v="คุณฉัตรรวี"/>
        <s v="ร้านเสื้อผ้าเด็ก (ปราจีน)"/>
        <s v="ร้าน เบบี้โฮม (ปราจีน)"/>
        <s v="ร้านนิคมยาน"/>
        <s v="คุณภูริพัท นาเสียง"/>
        <s v="ร้านโมเเอนด์มนต์"/>
        <s v="ร้านศักดิ์จักรยาน"/>
        <s v="ร้านพัฒนาโชค"/>
        <s v="ร้านลำทะเมนชัยจักรยาน"/>
        <s v="ร้านต้นอ้อยเบบี้ช็อป"/>
        <s v="ร้านบอสแอนด์บีม"/>
        <s v="บริษัท บิ๊กซี ซูเปอร์เซ็นเตอร์ จำกัด (มหาชน) (สาขาสุราษฎร์ธานี)"/>
        <s v="บริษัท บิ๊กซี ซูเปอร์เซ็นเตอร์ จำกัด (มหาชน) (สาขาเพชรบุรี)"/>
        <s v="บริษัท บิ๊กซี ซูเปอร์เซ็นเตอร์ จำกัด (มหาชน) (สาขาหัวหมาก)"/>
        <s v="บริษัท บิ๊กซี ซูเปอร์เซ็นเตอร์ จำกัด (มหาชน) (สาขาลพบุรี)"/>
        <s v="บมจ. บิ๊กซี ซูเปอร์เซ็นเตอร์ (คลังบางนา)"/>
        <s v="วรรัตน์ อธิโรจน์ (ร้านกะปุกตัง XXL)"/>
      </sharedItems>
    </cacheField>
    <cacheField name="Description" numFmtId="0">
      <sharedItems/>
    </cacheField>
    <cacheField name="Unit Price" numFmtId="0">
      <sharedItems containsString="0" containsBlank="1" containsNumber="1" minValue="45" maxValue="3840"/>
    </cacheField>
    <cacheField name="Quantity" numFmtId="0">
      <sharedItems containsSemiMixedTypes="0" containsString="0" containsNumber="1" containsInteger="1" minValue="1" maxValue="1416"/>
    </cacheField>
    <cacheField name="Discount Amount" numFmtId="0">
      <sharedItems containsString="0" containsBlank="1" containsNumber="1" minValue="-121" maxValue="1950"/>
    </cacheField>
    <cacheField name="Subtotal" numFmtId="0">
      <sharedItems containsString="0" containsBlank="1" containsNumber="1" minValue="57.94" maxValue="183947.66"/>
    </cacheField>
    <cacheField name="Taxes/Amount" numFmtId="0">
      <sharedItems containsSemiMixedTypes="0" containsString="0" containsNumber="1" minValue="7.0000000000000007E-2" maxValue="7.0000000000000007E-2"/>
    </cacheField>
    <cacheField name="SubTotal with Tax" numFmtId="0">
      <sharedItems containsSemiMixedTypes="0" containsString="0" containsNumber="1" minValue="0" maxValue="196824"/>
    </cacheField>
    <cacheField name="Order Reference/Delivered" numFmtId="0">
      <sharedItems containsBlank="1"/>
    </cacheField>
    <cacheField name="Order Reference/Taxes" numFmtId="0">
      <sharedItems containsString="0" containsBlank="1" containsNumber="1" minValue="4.0599999999999996" maxValue="12876.34"/>
    </cacheField>
    <cacheField name="Order Reference/Taxes With Discount" numFmtId="0">
      <sharedItems containsString="0" containsBlank="1" containsNumber="1" minValue="4.0599999999999996" maxValue="12876.34"/>
    </cacheField>
    <cacheField name="Order Reference/Total" numFmtId="0">
      <sharedItems containsString="0" containsBlank="1" containsNumber="1" minValue="62" maxValue="196824"/>
    </cacheField>
    <cacheField name="Order Reference/Total With Discount" numFmtId="0">
      <sharedItems containsString="0" containsBlank="1" containsNumber="1" minValue="62" maxValue="1968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1">
  <r>
    <s v="__export__.sale_order_line_400"/>
    <x v="0"/>
    <x v="0"/>
    <x v="0"/>
    <x v="0"/>
    <x v="0"/>
    <s v="[SL5077] รถเข็นเด็ก Maxi สีแดง"/>
    <n v="1390"/>
    <n v="3"/>
    <n v="290"/>
    <n v="3084.11"/>
    <n v="7.0000000000000007E-2"/>
    <n v="3300"/>
    <m/>
    <n v="431.78"/>
    <n v="431.78"/>
    <n v="6600"/>
    <n v="6600"/>
  </r>
  <r>
    <s v="__export__.sale_order_line_401"/>
    <x v="0"/>
    <x v="0"/>
    <x v="0"/>
    <x v="0"/>
    <x v="0"/>
    <s v="[SL5081] รถเข็นเด็ก Maxi สีฟ้า"/>
    <n v="1390"/>
    <n v="3"/>
    <n v="290"/>
    <n v="3084.11"/>
    <n v="7.0000000000000007E-2"/>
    <n v="3300"/>
    <m/>
    <n v="431.78"/>
    <n v="431.78"/>
    <n v="6600"/>
    <n v="6600"/>
  </r>
  <r>
    <s v="__export__.sale_order_line_399"/>
    <x v="1"/>
    <x v="0"/>
    <x v="0"/>
    <x v="0"/>
    <x v="0"/>
    <s v="[SL5017] รถเข็นเด็ก Mini สีแดง"/>
    <n v="1120"/>
    <n v="1"/>
    <m/>
    <n v="1046.73"/>
    <n v="7.0000000000000007E-2"/>
    <n v="1120"/>
    <m/>
    <n v="73.27"/>
    <n v="73.27"/>
    <n v="1120"/>
    <n v="1120"/>
  </r>
  <r>
    <s v="__export__.sale_order_line_398"/>
    <x v="2"/>
    <x v="0"/>
    <x v="0"/>
    <x v="0"/>
    <x v="1"/>
    <s v="[SZ4054] เครื่องนึ่งขวดนม Stand Teflon สีเขียว "/>
    <n v="850"/>
    <n v="1"/>
    <m/>
    <n v="794.39"/>
    <n v="7.0000000000000007E-2"/>
    <n v="850"/>
    <m/>
    <n v="55.61"/>
    <n v="55.61"/>
    <n v="850"/>
    <n v="850"/>
  </r>
  <r>
    <s v="__export__.sale_order_line_396"/>
    <x v="3"/>
    <x v="0"/>
    <x v="0"/>
    <x v="1"/>
    <x v="2"/>
    <s v="[SL5031] รถเข็นเด็ก Compact สีฟ้า"/>
    <n v="1400"/>
    <n v="1"/>
    <m/>
    <n v="1308.4100000000001"/>
    <n v="7.0000000000000007E-2"/>
    <n v="1400"/>
    <m/>
    <n v="153.74"/>
    <n v="153.74"/>
    <n v="2350"/>
    <n v="2350"/>
  </r>
  <r>
    <s v="__export__.sale_order_line_397"/>
    <x v="3"/>
    <x v="0"/>
    <x v="0"/>
    <x v="1"/>
    <x v="2"/>
    <s v="[WK3011] รถหัดเดินเด็ก 2in1 สีฟ้า"/>
    <n v="950"/>
    <n v="1"/>
    <m/>
    <n v="887.85"/>
    <n v="7.0000000000000007E-2"/>
    <n v="950"/>
    <m/>
    <n v="153.74"/>
    <n v="153.74"/>
    <n v="2350"/>
    <n v="2350"/>
  </r>
  <r>
    <s v="__export__.sale_order_line_395"/>
    <x v="4"/>
    <x v="0"/>
    <x v="0"/>
    <x v="1"/>
    <x v="3"/>
    <s v="[WK3121] รถหัดเดินเด็ก Rock and Run สีฟ้า "/>
    <n v="1180"/>
    <n v="1"/>
    <n v="30"/>
    <n v="1074.77"/>
    <n v="7.0000000000000007E-2"/>
    <n v="1150"/>
    <m/>
    <n v="75.23"/>
    <n v="75.23"/>
    <n v="1150"/>
    <n v="1150"/>
  </r>
  <r>
    <s v="__export__.sale_order_line_394"/>
    <x v="5"/>
    <x v="0"/>
    <x v="0"/>
    <x v="1"/>
    <x v="4"/>
    <s v="[WK3076] รถหัดเดินเด็ก Delux 4in1 สีชมพู"/>
    <n v="1740"/>
    <n v="1"/>
    <n v="740"/>
    <n v="934.58"/>
    <n v="7.0000000000000007E-2"/>
    <n v="1000"/>
    <m/>
    <n v="65.42"/>
    <n v="65.42"/>
    <n v="1000"/>
    <n v="1000"/>
  </r>
  <r>
    <s v="__export__.sale_order_line_392"/>
    <x v="6"/>
    <x v="0"/>
    <x v="0"/>
    <x v="1"/>
    <x v="4"/>
    <s v="[WK3076] รถหัดเดินเด็ก Delux 4in1 สีชมพู"/>
    <n v="1740"/>
    <n v="1"/>
    <n v="740"/>
    <n v="934.58"/>
    <n v="7.0000000000000007E-2"/>
    <n v="1000"/>
    <m/>
    <n v="98.13"/>
    <n v="98.13"/>
    <n v="1500"/>
    <n v="1500"/>
  </r>
  <r>
    <s v="__export__.sale_order_line_393"/>
    <x v="6"/>
    <x v="0"/>
    <x v="0"/>
    <x v="1"/>
    <x v="4"/>
    <s v="[PT8062] กระโถนเด็ก Music สีชมพู"/>
    <n v="550"/>
    <n v="1"/>
    <n v="50"/>
    <n v="467.29"/>
    <n v="7.0000000000000007E-2"/>
    <n v="500"/>
    <m/>
    <n v="98.13"/>
    <n v="98.13"/>
    <n v="1500"/>
    <n v="1500"/>
  </r>
  <r>
    <s v="__export__.sale_order_line_391"/>
    <x v="7"/>
    <x v="0"/>
    <x v="0"/>
    <x v="2"/>
    <x v="5"/>
    <s v="[BS7019] โต๊ะนั่งกินข้าวสำหรับเด็ก"/>
    <n v="900"/>
    <n v="4"/>
    <n v="300"/>
    <n v="2242.9899999999998"/>
    <n v="7.0000000000000007E-2"/>
    <n v="2400"/>
    <m/>
    <n v="157.01"/>
    <n v="157.01"/>
    <n v="2400"/>
    <n v="2400"/>
  </r>
  <r>
    <s v="__export__.sale_order_line_389"/>
    <x v="8"/>
    <x v="0"/>
    <x v="1"/>
    <x v="2"/>
    <x v="6"/>
    <s v="[BT2031] Baby Bathtub อ่างอาบน้ำเด็กขอบจับ สีฟ้า"/>
    <n v="320"/>
    <n v="30"/>
    <n v="70"/>
    <n v="7009.35"/>
    <n v="7.0000000000000007E-2"/>
    <n v="7500"/>
    <m/>
    <n v="981.3"/>
    <n v="981.3"/>
    <n v="15000"/>
    <n v="15000"/>
  </r>
  <r>
    <s v="__export__.sale_order_line_390"/>
    <x v="8"/>
    <x v="0"/>
    <x v="1"/>
    <x v="2"/>
    <x v="6"/>
    <s v="[BT2046] Baby Bathtub อ่างอาบน้ำเด็กขอบจับ สีชมพู"/>
    <n v="320"/>
    <n v="30"/>
    <n v="70"/>
    <n v="7009.35"/>
    <n v="7.0000000000000007E-2"/>
    <n v="7500"/>
    <m/>
    <n v="981.3"/>
    <n v="981.3"/>
    <n v="15000"/>
    <n v="15000"/>
  </r>
  <r>
    <s v="__export__.sale_order_line_388"/>
    <x v="9"/>
    <x v="0"/>
    <x v="0"/>
    <x v="0"/>
    <x v="7"/>
    <s v="[SZ4054] เครื่องนึ่งขวดนม Stand Teflon สีเขียว "/>
    <n v="830"/>
    <n v="1"/>
    <n v="830"/>
    <m/>
    <n v="7.0000000000000007E-2"/>
    <n v="0"/>
    <m/>
    <m/>
    <m/>
    <m/>
    <m/>
  </r>
  <r>
    <s v="__export__.sale_order_line_387"/>
    <x v="10"/>
    <x v="0"/>
    <x v="0"/>
    <x v="0"/>
    <x v="8"/>
    <s v="[SZ4054] เครื่องนึ่งขวดนม Stand Teflon สีเขียว "/>
    <n v="970"/>
    <n v="1"/>
    <m/>
    <n v="906.54"/>
    <n v="7.0000000000000007E-2"/>
    <n v="970"/>
    <m/>
    <n v="63.46"/>
    <n v="63.46"/>
    <n v="970"/>
    <n v="970"/>
  </r>
  <r>
    <s v="__export__.sale_order_line_385"/>
    <x v="11"/>
    <x v="0"/>
    <x v="0"/>
    <x v="0"/>
    <x v="9"/>
    <s v="[WK3061] รถหัดเดินเด็ก Delux 4in1 สีฟ้า "/>
    <n v="1990"/>
    <n v="1"/>
    <m/>
    <n v="1859.81"/>
    <n v="7.0000000000000007E-2"/>
    <n v="1990"/>
    <m/>
    <n v="130.19"/>
    <n v="130.19"/>
    <n v="1990"/>
    <n v="1990"/>
  </r>
  <r>
    <s v="__export__.sale_order_line_386"/>
    <x v="11"/>
    <x v="0"/>
    <x v="0"/>
    <x v="0"/>
    <x v="9"/>
    <s v="[PT8019] กระโถนสำหรับเด็ก 3in1"/>
    <n v="480"/>
    <n v="1"/>
    <n v="480"/>
    <m/>
    <n v="7.0000000000000007E-2"/>
    <n v="0"/>
    <m/>
    <n v="130.19"/>
    <n v="130.19"/>
    <n v="1990"/>
    <n v="1990"/>
  </r>
  <r>
    <s v="__export__.sale_order_line_384"/>
    <x v="12"/>
    <x v="0"/>
    <x v="0"/>
    <x v="0"/>
    <x v="10"/>
    <s v="[RK1124] เปลโยกเด็ก Bear Music สีน้ำตาล"/>
    <n v="2590"/>
    <n v="1"/>
    <m/>
    <n v="2420.56"/>
    <n v="7.0000000000000007E-2"/>
    <n v="2590"/>
    <m/>
    <n v="169.44"/>
    <n v="169.44"/>
    <n v="2590"/>
    <n v="2590"/>
  </r>
  <r>
    <s v="__export__.sale_order_line_383"/>
    <x v="13"/>
    <x v="0"/>
    <x v="0"/>
    <x v="0"/>
    <x v="11"/>
    <s v="[SZ4061] เครื่องนึ่งขวดนม Stand Teflon สีฟ้า "/>
    <n v="990"/>
    <n v="1"/>
    <m/>
    <n v="925.23"/>
    <n v="7.0000000000000007E-2"/>
    <n v="990"/>
    <m/>
    <n v="64.77"/>
    <n v="64.77"/>
    <n v="990"/>
    <n v="990"/>
  </r>
  <r>
    <s v="__export__.sale_order_line_382"/>
    <x v="14"/>
    <x v="0"/>
    <x v="0"/>
    <x v="0"/>
    <x v="12"/>
    <s v="[AP3112] ไมย์แคร์ แผ่นปิดดูดสิว Night 12"/>
    <n v="145"/>
    <n v="2"/>
    <m/>
    <n v="271.02999999999997"/>
    <n v="7.0000000000000007E-2"/>
    <n v="290"/>
    <m/>
    <n v="18.97"/>
    <n v="18.97"/>
    <n v="290"/>
    <n v="290"/>
  </r>
  <r>
    <s v="__export__.sale_order_line_381"/>
    <x v="15"/>
    <x v="0"/>
    <x v="0"/>
    <x v="0"/>
    <x v="13"/>
    <s v="[RK1041] เปลโยกเด็ก Bear สีฟ้า"/>
    <n v="1990"/>
    <n v="1"/>
    <m/>
    <n v="1859.81"/>
    <n v="7.0000000000000007E-2"/>
    <n v="1990"/>
    <m/>
    <n v="130.19"/>
    <n v="130.19"/>
    <n v="1990"/>
    <n v="1990"/>
  </r>
  <r>
    <s v="__export__.sale_order_line_380"/>
    <x v="16"/>
    <x v="1"/>
    <x v="2"/>
    <x v="0"/>
    <x v="14"/>
    <s v="[BT2046] Baby Bathtub อ่างอาบน้ำเด็กขอบจับ สีชมพู"/>
    <n v="390"/>
    <n v="1"/>
    <m/>
    <n v="364.49"/>
    <n v="7.0000000000000007E-2"/>
    <n v="390"/>
    <b v="1"/>
    <n v="25.51"/>
    <n v="25.51"/>
    <n v="390"/>
    <n v="390"/>
  </r>
  <r>
    <s v="__export__.sale_order_line_378"/>
    <x v="17"/>
    <x v="1"/>
    <x v="2"/>
    <x v="0"/>
    <x v="15"/>
    <s v="[BT2046] Baby Bathtub อ่างอาบน้ำเด็กขอบจับ สีชมพู"/>
    <n v="790"/>
    <n v="1"/>
    <m/>
    <n v="738.32"/>
    <n v="7.0000000000000007E-2"/>
    <n v="790"/>
    <b v="1"/>
    <n v="51.68"/>
    <n v="51.68"/>
    <n v="790"/>
    <n v="790"/>
  </r>
  <r>
    <s v="__export__.sale_order_line_379"/>
    <x v="17"/>
    <x v="1"/>
    <x v="2"/>
    <x v="0"/>
    <x v="15"/>
    <s v="[BT0239] Baby Bath Chair ที่กันลื่น สีขาว"/>
    <n v="220"/>
    <n v="1"/>
    <n v="220"/>
    <m/>
    <n v="7.0000000000000007E-2"/>
    <n v="0"/>
    <b v="1"/>
    <n v="51.68"/>
    <n v="51.68"/>
    <n v="790"/>
    <n v="790"/>
  </r>
  <r>
    <s v="__export__.sale_order_line_376"/>
    <x v="18"/>
    <x v="1"/>
    <x v="2"/>
    <x v="0"/>
    <x v="16"/>
    <s v="[BT2031] Baby Bathtub อ่างอาบน้ำเด็กขอบจับ สีฟ้า"/>
    <n v="790"/>
    <n v="1"/>
    <m/>
    <n v="738.32"/>
    <n v="7.0000000000000007E-2"/>
    <n v="790"/>
    <b v="1"/>
    <n v="51.68"/>
    <n v="51.68"/>
    <n v="790"/>
    <n v="790"/>
  </r>
  <r>
    <s v="__export__.sale_order_line_377"/>
    <x v="18"/>
    <x v="1"/>
    <x v="2"/>
    <x v="0"/>
    <x v="16"/>
    <s v="[BT0239] Baby Bath Chair ที่กันลื่น สีขาว"/>
    <n v="320"/>
    <n v="1"/>
    <n v="320"/>
    <m/>
    <n v="7.0000000000000007E-2"/>
    <n v="0"/>
    <b v="1"/>
    <n v="51.68"/>
    <n v="51.68"/>
    <n v="790"/>
    <n v="790"/>
  </r>
  <r>
    <s v="__export__.sale_order_line_375"/>
    <x v="19"/>
    <x v="1"/>
    <x v="2"/>
    <x v="0"/>
    <x v="17"/>
    <s v="[SZ4071] เครื่องนึ่งขวดนม Timer Teflon สีฟ้า"/>
    <n v="1520"/>
    <n v="1"/>
    <m/>
    <n v="1420.56"/>
    <n v="7.0000000000000007E-2"/>
    <n v="1520"/>
    <b v="1"/>
    <n v="99.44"/>
    <n v="99.44"/>
    <n v="1520"/>
    <n v="1520"/>
  </r>
  <r>
    <s v="__export__.sale_order_line_374"/>
    <x v="20"/>
    <x v="1"/>
    <x v="2"/>
    <x v="0"/>
    <x v="18"/>
    <s v="[RK1032] เปลโยกเด็ก Bear สีน้ำตาล"/>
    <n v="2290"/>
    <n v="1"/>
    <n v="300"/>
    <n v="1859.81"/>
    <n v="7.0000000000000007E-2"/>
    <n v="1990"/>
    <b v="1"/>
    <n v="130.19"/>
    <n v="130.19"/>
    <n v="1990"/>
    <n v="1990"/>
  </r>
  <r>
    <s v="__export__.sale_order_line_373"/>
    <x v="21"/>
    <x v="1"/>
    <x v="2"/>
    <x v="0"/>
    <x v="19"/>
    <s v="[PT8031] กระโถนเด็ก Music สีฟ้า"/>
    <n v="690"/>
    <n v="1"/>
    <m/>
    <n v="644.86"/>
    <n v="7.0000000000000007E-2"/>
    <n v="690"/>
    <b v="1"/>
    <n v="45.14"/>
    <n v="45.14"/>
    <n v="690"/>
    <n v="690"/>
  </r>
  <r>
    <s v="__export__.sale_order_line_372"/>
    <x v="22"/>
    <x v="1"/>
    <x v="0"/>
    <x v="3"/>
    <x v="20"/>
    <s v="[AP3212P12] ไมย์แคร์ แผ่นปิดดูดสิว Day 3 x Night 3 Pack 12"/>
    <n v="3561.12"/>
    <n v="15"/>
    <m/>
    <n v="49922.239999999998"/>
    <n v="7.0000000000000007E-2"/>
    <n v="53416.800000000003"/>
    <m/>
    <n v="3494.56"/>
    <n v="3494.56"/>
    <n v="53416.800000000003"/>
    <n v="53416.800000000003"/>
  </r>
  <r>
    <s v="__export__.sale_order_line_366"/>
    <x v="23"/>
    <x v="1"/>
    <x v="2"/>
    <x v="2"/>
    <x v="6"/>
    <s v="[EP9021] ปั๊มนมไฟฟ้า  สีฟ้า"/>
    <n v="1390"/>
    <n v="5"/>
    <n v="490"/>
    <n v="4205.6099999999997"/>
    <n v="7.0000000000000007E-2"/>
    <n v="4500"/>
    <b v="1"/>
    <n v="1212.8900000000001"/>
    <n v="1212.8900000000001"/>
    <n v="18540"/>
    <n v="18540"/>
  </r>
  <r>
    <s v="__export__.sale_order_line_367"/>
    <x v="23"/>
    <x v="1"/>
    <x v="2"/>
    <x v="2"/>
    <x v="6"/>
    <s v="[EP9024] ปั๊มนมไฟฟ้า สีเขียว"/>
    <n v="1390"/>
    <n v="3"/>
    <n v="490"/>
    <n v="2523.36"/>
    <n v="7.0000000000000007E-2"/>
    <n v="2700"/>
    <b v="1"/>
    <n v="1212.8900000000001"/>
    <n v="1212.8900000000001"/>
    <n v="18540"/>
    <n v="18540"/>
  </r>
  <r>
    <s v="__export__.sale_order_line_368"/>
    <x v="23"/>
    <x v="1"/>
    <x v="2"/>
    <x v="2"/>
    <x v="6"/>
    <s v="[SZ4061] เครื่องนึ่งขวดนม Stand Teflon สีฟ้า "/>
    <n v="830"/>
    <n v="3"/>
    <n v="240"/>
    <n v="1654.21"/>
    <n v="7.0000000000000007E-2"/>
    <n v="1770"/>
    <b v="1"/>
    <n v="1212.8900000000001"/>
    <n v="1212.8900000000001"/>
    <n v="18540"/>
    <n v="18540"/>
  </r>
  <r>
    <s v="__export__.sale_order_line_369"/>
    <x v="23"/>
    <x v="1"/>
    <x v="2"/>
    <x v="2"/>
    <x v="6"/>
    <s v="[SZ4054] เครื่องนึ่งขวดนม Stand Teflon สีเขียว "/>
    <n v="830"/>
    <n v="3"/>
    <n v="240"/>
    <n v="1654.21"/>
    <n v="7.0000000000000007E-2"/>
    <n v="1770"/>
    <b v="1"/>
    <n v="1212.8900000000001"/>
    <n v="1212.8900000000001"/>
    <n v="18540"/>
    <n v="18540"/>
  </r>
  <r>
    <s v="__export__.sale_order_line_370"/>
    <x v="23"/>
    <x v="1"/>
    <x v="2"/>
    <x v="2"/>
    <x v="6"/>
    <s v="[SZ4041] เครื่องนึ่งขวดนม Dryer Teflon สีฟ้า"/>
    <n v="1950"/>
    <n v="3"/>
    <n v="650"/>
    <n v="3644.86"/>
    <n v="7.0000000000000007E-2"/>
    <n v="3900"/>
    <b v="1"/>
    <n v="1212.8900000000001"/>
    <n v="1212.8900000000001"/>
    <n v="18540"/>
    <n v="18540"/>
  </r>
  <r>
    <s v="__export__.sale_order_line_371"/>
    <x v="23"/>
    <x v="1"/>
    <x v="2"/>
    <x v="2"/>
    <x v="6"/>
    <s v="[SZ4034] เครื่องนึ่งขวดนม Dryer Teflon สีเขียว"/>
    <n v="1950"/>
    <n v="3"/>
    <n v="650"/>
    <n v="3644.86"/>
    <n v="7.0000000000000007E-2"/>
    <n v="3900"/>
    <b v="1"/>
    <n v="1212.8900000000001"/>
    <n v="1212.8900000000001"/>
    <n v="18540"/>
    <n v="18540"/>
  </r>
  <r>
    <s v="__export__.sale_order_line_356"/>
    <x v="24"/>
    <x v="1"/>
    <x v="1"/>
    <x v="0"/>
    <x v="21"/>
    <s v="[SL5064] รถเข็นเด็ก Mini2 สีเขียว"/>
    <n v="970"/>
    <n v="1"/>
    <n v="110"/>
    <n v="803.74"/>
    <n v="7.0000000000000007E-2"/>
    <n v="860"/>
    <m/>
    <n v="820.36"/>
    <n v="820.36"/>
    <n v="12540"/>
    <n v="12540"/>
  </r>
  <r>
    <s v="__export__.sale_order_line_357"/>
    <x v="24"/>
    <x v="1"/>
    <x v="1"/>
    <x v="0"/>
    <x v="21"/>
    <s v="[SL5057] รถเข็นเด็ก Mini2 สีแดง"/>
    <n v="970"/>
    <n v="1"/>
    <n v="110"/>
    <n v="803.74"/>
    <n v="7.0000000000000007E-2"/>
    <n v="860"/>
    <m/>
    <n v="820.36"/>
    <n v="820.36"/>
    <n v="12540"/>
    <n v="12540"/>
  </r>
  <r>
    <s v="__export__.sale_order_line_358"/>
    <x v="24"/>
    <x v="1"/>
    <x v="1"/>
    <x v="0"/>
    <x v="21"/>
    <s v="[SL5077] รถเข็นเด็ก Maxi สีแดง"/>
    <n v="1390"/>
    <n v="1"/>
    <n v="190"/>
    <n v="1121.5"/>
    <n v="7.0000000000000007E-2"/>
    <n v="1200"/>
    <m/>
    <n v="820.36"/>
    <n v="820.36"/>
    <n v="12540"/>
    <n v="12540"/>
  </r>
  <r>
    <s v="__export__.sale_order_line_359"/>
    <x v="24"/>
    <x v="1"/>
    <x v="1"/>
    <x v="0"/>
    <x v="21"/>
    <s v="[SL5081] รถเข็นเด็ก Maxi สีฟ้า"/>
    <n v="1390"/>
    <n v="1"/>
    <n v="190"/>
    <n v="1121.5"/>
    <n v="7.0000000000000007E-2"/>
    <n v="1200"/>
    <m/>
    <n v="820.36"/>
    <n v="820.36"/>
    <n v="12540"/>
    <n v="12540"/>
  </r>
  <r>
    <s v="__export__.sale_order_line_360"/>
    <x v="24"/>
    <x v="1"/>
    <x v="1"/>
    <x v="0"/>
    <x v="21"/>
    <s v="[SZ4061] เครื่องนึ่งขวดนม Stand Teflon สีฟ้า "/>
    <n v="830"/>
    <n v="3"/>
    <n v="240"/>
    <n v="1654.21"/>
    <n v="7.0000000000000007E-2"/>
    <n v="1770"/>
    <m/>
    <n v="820.36"/>
    <n v="820.36"/>
    <n v="12540"/>
    <n v="12540"/>
  </r>
  <r>
    <s v="__export__.sale_order_line_361"/>
    <x v="24"/>
    <x v="1"/>
    <x v="1"/>
    <x v="0"/>
    <x v="21"/>
    <s v="[SZ4054] เครื่องนึ่งขวดนม Stand Teflon สีเขียว "/>
    <n v="830"/>
    <n v="3"/>
    <n v="240"/>
    <n v="1654.21"/>
    <n v="7.0000000000000007E-2"/>
    <n v="1770"/>
    <m/>
    <n v="820.36"/>
    <n v="820.36"/>
    <n v="12540"/>
    <n v="12540"/>
  </r>
  <r>
    <s v="__export__.sale_order_line_362"/>
    <x v="24"/>
    <x v="1"/>
    <x v="1"/>
    <x v="0"/>
    <x v="21"/>
    <s v="[WK3046] รถหัดเดินเด็ก Fish 8ล้อ สีชมพู"/>
    <n v="690"/>
    <n v="4"/>
    <n v="80"/>
    <n v="2280.37"/>
    <n v="7.0000000000000007E-2"/>
    <n v="2440"/>
    <m/>
    <n v="820.36"/>
    <n v="820.36"/>
    <n v="12540"/>
    <n v="12540"/>
  </r>
  <r>
    <s v="__export__.sale_order_line_363"/>
    <x v="24"/>
    <x v="1"/>
    <x v="1"/>
    <x v="0"/>
    <x v="21"/>
    <s v="[WK3051] รถหัดเดินเด็ก Fish 8ล้อ สีฟ้า"/>
    <n v="690"/>
    <n v="4"/>
    <n v="80"/>
    <n v="2280.37"/>
    <n v="7.0000000000000007E-2"/>
    <n v="2440"/>
    <m/>
    <n v="820.36"/>
    <n v="820.36"/>
    <n v="12540"/>
    <n v="12540"/>
  </r>
  <r>
    <s v="__export__.sale_order_line_364"/>
    <x v="24"/>
    <x v="1"/>
    <x v="1"/>
    <x v="0"/>
    <x v="21"/>
    <s v="[FD12717476P12] กระติกน้ำแบบมีหลอดดูด Sport sipper cup สีฟ้า-เขียว-ชมพู Pack 12"/>
    <n v="830"/>
    <n v="1"/>
    <n v="830"/>
    <m/>
    <n v="7.0000000000000007E-2"/>
    <n v="0"/>
    <m/>
    <n v="820.36"/>
    <n v="820.36"/>
    <n v="12540"/>
    <n v="12540"/>
  </r>
  <r>
    <s v="__export__.sale_order_line_365"/>
    <x v="24"/>
    <x v="1"/>
    <x v="1"/>
    <x v="0"/>
    <x v="21"/>
    <s v="[FD12313536P12] ถ้วยหัดดื่มแขนจับ 2 Handle cup สีฟ้า-ส้ม-ชมพู Pack 12"/>
    <n v="580"/>
    <n v="1"/>
    <n v="580"/>
    <m/>
    <n v="7.0000000000000007E-2"/>
    <n v="0"/>
    <m/>
    <n v="820.36"/>
    <n v="820.36"/>
    <n v="12540"/>
    <n v="12540"/>
  </r>
  <r>
    <s v="__export__.sale_order_line_346"/>
    <x v="25"/>
    <x v="1"/>
    <x v="1"/>
    <x v="0"/>
    <x v="22"/>
    <s v="[SL5064] รถเข็นเด็ก Mini2 สีเขียว"/>
    <n v="970"/>
    <n v="1"/>
    <n v="110"/>
    <n v="803.74"/>
    <n v="7.0000000000000007E-2"/>
    <n v="860"/>
    <m/>
    <n v="820.36"/>
    <n v="820.36"/>
    <n v="12540"/>
    <n v="12540"/>
  </r>
  <r>
    <s v="__export__.sale_order_line_347"/>
    <x v="25"/>
    <x v="1"/>
    <x v="1"/>
    <x v="0"/>
    <x v="22"/>
    <s v="[SL5057] รถเข็นเด็ก Mini2 สีแดง"/>
    <n v="970"/>
    <n v="1"/>
    <n v="110"/>
    <n v="803.74"/>
    <n v="7.0000000000000007E-2"/>
    <n v="860"/>
    <m/>
    <n v="820.36"/>
    <n v="820.36"/>
    <n v="12540"/>
    <n v="12540"/>
  </r>
  <r>
    <s v="__export__.sale_order_line_348"/>
    <x v="25"/>
    <x v="1"/>
    <x v="1"/>
    <x v="0"/>
    <x v="22"/>
    <s v="[SL5077] รถเข็นเด็ก Maxi สีแดง"/>
    <n v="1390"/>
    <n v="1"/>
    <n v="190"/>
    <n v="1121.5"/>
    <n v="7.0000000000000007E-2"/>
    <n v="1200"/>
    <m/>
    <n v="820.36"/>
    <n v="820.36"/>
    <n v="12540"/>
    <n v="12540"/>
  </r>
  <r>
    <s v="__export__.sale_order_line_349"/>
    <x v="25"/>
    <x v="1"/>
    <x v="1"/>
    <x v="0"/>
    <x v="22"/>
    <s v="[SL5081] รถเข็นเด็ก Maxi สีฟ้า"/>
    <n v="1390"/>
    <n v="1"/>
    <n v="190"/>
    <n v="1121.5"/>
    <n v="7.0000000000000007E-2"/>
    <n v="1200"/>
    <m/>
    <n v="820.36"/>
    <n v="820.36"/>
    <n v="12540"/>
    <n v="12540"/>
  </r>
  <r>
    <s v="__export__.sale_order_line_350"/>
    <x v="25"/>
    <x v="1"/>
    <x v="1"/>
    <x v="0"/>
    <x v="22"/>
    <s v="[SZ4061] เครื่องนึ่งขวดนม Stand Teflon สีฟ้า "/>
    <n v="830"/>
    <n v="3"/>
    <n v="240"/>
    <n v="1654.21"/>
    <n v="7.0000000000000007E-2"/>
    <n v="1770"/>
    <m/>
    <n v="820.36"/>
    <n v="820.36"/>
    <n v="12540"/>
    <n v="12540"/>
  </r>
  <r>
    <s v="__export__.sale_order_line_351"/>
    <x v="25"/>
    <x v="1"/>
    <x v="1"/>
    <x v="0"/>
    <x v="22"/>
    <s v="[SZ4054] เครื่องนึ่งขวดนม Stand Teflon สีเขียว "/>
    <n v="830"/>
    <n v="3"/>
    <n v="240"/>
    <n v="1654.21"/>
    <n v="7.0000000000000007E-2"/>
    <n v="1770"/>
    <m/>
    <n v="820.36"/>
    <n v="820.36"/>
    <n v="12540"/>
    <n v="12540"/>
  </r>
  <r>
    <s v="__export__.sale_order_line_352"/>
    <x v="25"/>
    <x v="1"/>
    <x v="1"/>
    <x v="0"/>
    <x v="22"/>
    <s v="[WK3046] รถหัดเดินเด็ก Fish 8ล้อ สีชมพู"/>
    <n v="690"/>
    <n v="4"/>
    <n v="80"/>
    <n v="2280.37"/>
    <n v="7.0000000000000007E-2"/>
    <n v="2440"/>
    <m/>
    <n v="820.36"/>
    <n v="820.36"/>
    <n v="12540"/>
    <n v="12540"/>
  </r>
  <r>
    <s v="__export__.sale_order_line_353"/>
    <x v="25"/>
    <x v="1"/>
    <x v="1"/>
    <x v="0"/>
    <x v="22"/>
    <s v="[WK3051] รถหัดเดินเด็ก Fish 8ล้อ สีฟ้า"/>
    <n v="690"/>
    <n v="4"/>
    <n v="80"/>
    <n v="2280.37"/>
    <n v="7.0000000000000007E-2"/>
    <n v="2440"/>
    <m/>
    <n v="820.36"/>
    <n v="820.36"/>
    <n v="12540"/>
    <n v="12540"/>
  </r>
  <r>
    <s v="__export__.sale_order_line_354"/>
    <x v="25"/>
    <x v="1"/>
    <x v="1"/>
    <x v="0"/>
    <x v="22"/>
    <s v="[FD12717476P12] กระติกน้ำแบบมีหลอดดูด Sport sipper cup สีฟ้า-เขียว-ชมพู Pack 12"/>
    <n v="830"/>
    <n v="1"/>
    <n v="830"/>
    <m/>
    <n v="7.0000000000000007E-2"/>
    <n v="0"/>
    <m/>
    <n v="820.36"/>
    <n v="820.36"/>
    <n v="12540"/>
    <n v="12540"/>
  </r>
  <r>
    <s v="__export__.sale_order_line_355"/>
    <x v="25"/>
    <x v="1"/>
    <x v="1"/>
    <x v="0"/>
    <x v="22"/>
    <s v="[FD12313536P12] ถ้วยหัดดื่มแขนจับ 2 Handle cup สีฟ้า-ส้ม-ชมพู Pack 12"/>
    <n v="580"/>
    <n v="1"/>
    <n v="580"/>
    <m/>
    <n v="7.0000000000000007E-2"/>
    <n v="0"/>
    <m/>
    <n v="820.36"/>
    <n v="820.36"/>
    <n v="12540"/>
    <n v="12540"/>
  </r>
  <r>
    <s v="__export__.sale_order_line_345"/>
    <x v="26"/>
    <x v="2"/>
    <x v="1"/>
    <x v="3"/>
    <x v="23"/>
    <s v="[AP3212P12] ไมย์แคร์ แผ่นปิดดูดสิว Day 3 x Night 3 Pack 12"/>
    <n v="593.52"/>
    <n v="11"/>
    <m/>
    <n v="6101.61"/>
    <n v="7.0000000000000007E-2"/>
    <n v="6528.7"/>
    <m/>
    <n v="427.11"/>
    <n v="427.11"/>
    <n v="6528.72"/>
    <n v="6528.72"/>
  </r>
  <r>
    <s v="__export__.sale_order_line_340"/>
    <x v="27"/>
    <x v="2"/>
    <x v="1"/>
    <x v="3"/>
    <x v="23"/>
    <s v="[SZ4054P2] เครื่องนึ่งขวดนม Stand Teflon สีเขียว Pack 2"/>
    <n v="1671.02"/>
    <n v="6"/>
    <m/>
    <n v="9370.2099999999991"/>
    <n v="7.0000000000000007E-2"/>
    <n v="10026.1"/>
    <m/>
    <n v="2757.4"/>
    <n v="2757.4"/>
    <n v="42148.84"/>
    <n v="42148.84"/>
  </r>
  <r>
    <s v="__export__.sale_order_line_341"/>
    <x v="27"/>
    <x v="2"/>
    <x v="1"/>
    <x v="3"/>
    <x v="23"/>
    <s v="[ABR1001421P12] แปรงล้างขวดนมแบบหมุนสีฟ้า-เขียว Pack 12"/>
    <n v="643.91999999999996"/>
    <n v="17"/>
    <m/>
    <n v="10230.5"/>
    <n v="7.0000000000000007E-2"/>
    <n v="10946.6"/>
    <m/>
    <n v="2757.4"/>
    <n v="2757.4"/>
    <n v="42148.84"/>
    <n v="42148.84"/>
  </r>
  <r>
    <s v="__export__.sale_order_line_342"/>
    <x v="27"/>
    <x v="2"/>
    <x v="1"/>
    <x v="3"/>
    <x v="23"/>
    <s v="[SZ407186P2] เครื่องนึ่งขวดนม Timer Teflon สีฟ้า-ชมพู Pack 2"/>
    <n v="1832"/>
    <n v="6"/>
    <m/>
    <n v="10272.9"/>
    <n v="7.0000000000000007E-2"/>
    <n v="10992"/>
    <m/>
    <n v="2757.4"/>
    <n v="2757.4"/>
    <n v="42148.84"/>
    <n v="42148.84"/>
  </r>
  <r>
    <s v="__export__.sale_order_line_343"/>
    <x v="27"/>
    <x v="2"/>
    <x v="1"/>
    <x v="3"/>
    <x v="23"/>
    <s v="[MP9010] ปั๊มนมก้านโยก สีขาว"/>
    <n v="1192.52"/>
    <n v="8"/>
    <m/>
    <n v="8916.0400000000009"/>
    <n v="7.0000000000000007E-2"/>
    <n v="9540.2000000000007"/>
    <m/>
    <n v="2757.4"/>
    <n v="2757.4"/>
    <n v="42148.84"/>
    <n v="42148.84"/>
  </r>
  <r>
    <s v="__export__.sale_order_line_344"/>
    <x v="27"/>
    <x v="2"/>
    <x v="1"/>
    <x v="3"/>
    <x v="23"/>
    <s v="[FD12717476P72] กระติกน้ำแบบมีหลอดดูด Sport sipper cup สีฟ้า-เขียว-ชมพู Pack 12"/>
    <n v="321.95999999999998"/>
    <n v="2"/>
    <m/>
    <n v="601.79"/>
    <n v="7.0000000000000007E-2"/>
    <n v="643.9"/>
    <m/>
    <n v="2757.4"/>
    <n v="2757.4"/>
    <n v="42148.84"/>
    <n v="42148.84"/>
  </r>
  <r>
    <s v="__export__.sale_order_line_334"/>
    <x v="28"/>
    <x v="2"/>
    <x v="1"/>
    <x v="3"/>
    <x v="23"/>
    <s v="[SZ4054P2] เครื่องนึ่งขวดนม Stand Teflon สีเขียว Pack 2"/>
    <n v="1671.02"/>
    <n v="8"/>
    <m/>
    <n v="12493.61"/>
    <n v="7.0000000000000007E-2"/>
    <n v="13368.2"/>
    <m/>
    <n v="3365.96"/>
    <n v="3365.96"/>
    <n v="51451.24"/>
    <n v="51451.24"/>
  </r>
  <r>
    <s v="__export__.sale_order_line_335"/>
    <x v="28"/>
    <x v="2"/>
    <x v="1"/>
    <x v="3"/>
    <x v="23"/>
    <s v="[ABR1014P12] แปรงล้างขวดนมและจุกนมสีฟ้า-ชมพู Pack 12"/>
    <n v="643.91999999999996"/>
    <n v="18"/>
    <m/>
    <n v="10832.3"/>
    <n v="7.0000000000000007E-2"/>
    <n v="11590.6"/>
    <m/>
    <n v="3365.96"/>
    <n v="3365.96"/>
    <n v="51451.24"/>
    <n v="51451.24"/>
  </r>
  <r>
    <s v="__export__.sale_order_line_336"/>
    <x v="28"/>
    <x v="2"/>
    <x v="1"/>
    <x v="3"/>
    <x v="23"/>
    <s v="[SZ407186P2] เครื่องนึ่งขวดนม Timer Teflon สีฟ้า-ชมพู Pack 2"/>
    <n v="1832"/>
    <n v="6"/>
    <m/>
    <n v="10272.9"/>
    <n v="7.0000000000000007E-2"/>
    <n v="10992"/>
    <m/>
    <n v="3365.96"/>
    <n v="3365.96"/>
    <n v="51451.24"/>
    <n v="51451.24"/>
  </r>
  <r>
    <s v="__export__.sale_order_line_337"/>
    <x v="28"/>
    <x v="2"/>
    <x v="1"/>
    <x v="3"/>
    <x v="23"/>
    <s v="[MP9010] ปั๊มนมก้านโยก สีขาว"/>
    <n v="1192.52"/>
    <n v="12"/>
    <m/>
    <n v="13374.06"/>
    <n v="7.0000000000000007E-2"/>
    <n v="14310.2"/>
    <m/>
    <n v="3365.96"/>
    <n v="3365.96"/>
    <n v="51451.24"/>
    <n v="51451.24"/>
  </r>
  <r>
    <s v="__export__.sale_order_line_338"/>
    <x v="28"/>
    <x v="2"/>
    <x v="1"/>
    <x v="3"/>
    <x v="23"/>
    <s v="[FD12313536P12] ถ้วยหัดดื่มแขนจับ 2 Handle cup สีฟ้า-ส้ม-ชมพู Pack 12"/>
    <n v="224.4"/>
    <n v="1"/>
    <m/>
    <n v="209.72"/>
    <n v="7.0000000000000007E-2"/>
    <n v="224.4"/>
    <m/>
    <n v="3365.96"/>
    <n v="3365.96"/>
    <n v="51451.24"/>
    <n v="51451.24"/>
  </r>
  <r>
    <s v="__export__.sale_order_line_339"/>
    <x v="28"/>
    <x v="2"/>
    <x v="1"/>
    <x v="3"/>
    <x v="23"/>
    <s v="[FD12717476P72] กระติกน้ำแบบมีหลอดดูด Sport sipper cup สีฟ้า-เขียว-ชมพู Pack 12"/>
    <n v="321.95999999999998"/>
    <n v="3"/>
    <m/>
    <n v="902.69"/>
    <n v="7.0000000000000007E-2"/>
    <n v="965.9"/>
    <m/>
    <n v="3365.96"/>
    <n v="3365.96"/>
    <n v="51451.24"/>
    <n v="51451.24"/>
  </r>
  <r>
    <s v="__export__.sale_order_line_333"/>
    <x v="29"/>
    <x v="2"/>
    <x v="0"/>
    <x v="3"/>
    <x v="24"/>
    <s v="[AP3212P12] ไมย์แคร์ แผ่นปิดดูดสิว Day 3 x Night 3 Pack 12"/>
    <n v="593.52"/>
    <n v="36"/>
    <m/>
    <n v="19968.900000000001"/>
    <n v="7.0000000000000007E-2"/>
    <n v="21366.7"/>
    <m/>
    <n v="1397.82"/>
    <n v="1397.82"/>
    <n v="21366.720000000001"/>
    <n v="21366.720000000001"/>
  </r>
  <r>
    <s v="__export__.sale_order_line_332"/>
    <x v="30"/>
    <x v="2"/>
    <x v="2"/>
    <x v="0"/>
    <x v="25"/>
    <s v="[PT8062] กระโถนเด็ก Music สีชมพู"/>
    <n v="690"/>
    <n v="1"/>
    <m/>
    <n v="644.86"/>
    <n v="7.0000000000000007E-2"/>
    <n v="690"/>
    <b v="1"/>
    <n v="45.14"/>
    <n v="45.14"/>
    <n v="690"/>
    <n v="690"/>
  </r>
  <r>
    <s v="__export__.sale_order_line_331"/>
    <x v="31"/>
    <x v="2"/>
    <x v="0"/>
    <x v="0"/>
    <x v="26"/>
    <s v="[SZ4071] เครื่องนึ่งขวดนม Timer Teflon สีฟ้า"/>
    <n v="1520"/>
    <n v="1"/>
    <m/>
    <n v="1420.56"/>
    <n v="7.0000000000000007E-2"/>
    <n v="1520"/>
    <m/>
    <n v="99.44"/>
    <n v="99.44"/>
    <n v="1520"/>
    <n v="1520"/>
  </r>
  <r>
    <s v="__export__.sale_order_line_330"/>
    <x v="32"/>
    <x v="2"/>
    <x v="2"/>
    <x v="0"/>
    <x v="27"/>
    <s v="[RK1124] เปลโยกเด็ก Bear Music สีน้ำตาล"/>
    <n v="2590"/>
    <n v="1"/>
    <m/>
    <n v="2420.56"/>
    <n v="7.0000000000000007E-2"/>
    <n v="2590"/>
    <b v="1"/>
    <n v="169.44"/>
    <n v="169.44"/>
    <n v="2590"/>
    <n v="2590"/>
  </r>
  <r>
    <s v="__export__.sale_order_line_329"/>
    <x v="33"/>
    <x v="2"/>
    <x v="2"/>
    <x v="0"/>
    <x v="28"/>
    <s v="[MP9010] ปั๊มนมก้านโยก สีขาว"/>
    <n v="499"/>
    <n v="1"/>
    <m/>
    <n v="466.36"/>
    <n v="7.0000000000000007E-2"/>
    <n v="499"/>
    <b v="1"/>
    <n v="32.64"/>
    <n v="32.64"/>
    <n v="499"/>
    <n v="499"/>
  </r>
  <r>
    <s v="__export__.sale_order_line_328"/>
    <x v="34"/>
    <x v="2"/>
    <x v="2"/>
    <x v="4"/>
    <x v="29"/>
    <s v="[BT0226] Baby Bathtub อ่างอาบน้ำเด็กขนาดกลาง สีชมพู"/>
    <n v="790"/>
    <n v="1"/>
    <m/>
    <n v="738.32"/>
    <n v="7.0000000000000007E-2"/>
    <n v="790"/>
    <b v="1"/>
    <n v="51.68"/>
    <n v="51.68"/>
    <n v="790"/>
    <n v="790"/>
  </r>
  <r>
    <s v="__export__.sale_order_line_311"/>
    <x v="35"/>
    <x v="2"/>
    <x v="1"/>
    <x v="0"/>
    <x v="30"/>
    <s v="[SL5017] รถเข็นเด็ก Mini สีแดง"/>
    <n v="765"/>
    <n v="5"/>
    <m/>
    <n v="3574.77"/>
    <n v="7.0000000000000007E-2"/>
    <n v="3825"/>
    <m/>
    <n v="2406.83"/>
    <n v="2406.83"/>
    <n v="36790"/>
    <n v="36790"/>
  </r>
  <r>
    <s v="__export__.sale_order_line_312"/>
    <x v="35"/>
    <x v="2"/>
    <x v="1"/>
    <x v="0"/>
    <x v="30"/>
    <s v="[SL5021] รถเข็นเด็ก Mini สีฟ้า"/>
    <n v="765"/>
    <n v="5"/>
    <m/>
    <n v="3574.77"/>
    <n v="7.0000000000000007E-2"/>
    <n v="3825"/>
    <m/>
    <n v="2406.83"/>
    <n v="2406.83"/>
    <n v="36790"/>
    <n v="36790"/>
  </r>
  <r>
    <s v="__export__.sale_order_line_313"/>
    <x v="35"/>
    <x v="2"/>
    <x v="1"/>
    <x v="0"/>
    <x v="30"/>
    <s v="[SL5077] รถเข็นเด็ก Maxi สีแดง"/>
    <n v="995"/>
    <n v="10"/>
    <m/>
    <n v="9299.07"/>
    <n v="7.0000000000000007E-2"/>
    <n v="9950"/>
    <m/>
    <n v="2406.83"/>
    <n v="2406.83"/>
    <n v="36790"/>
    <n v="36790"/>
  </r>
  <r>
    <s v="__export__.sale_order_line_314"/>
    <x v="35"/>
    <x v="2"/>
    <x v="1"/>
    <x v="0"/>
    <x v="30"/>
    <s v="[WK3246] รถหัดเดินเด็ก Fish 6ล้อ สีชมพู"/>
    <n v="450"/>
    <n v="5"/>
    <m/>
    <n v="2102.8000000000002"/>
    <n v="7.0000000000000007E-2"/>
    <n v="2250"/>
    <m/>
    <n v="2406.83"/>
    <n v="2406.83"/>
    <n v="36790"/>
    <n v="36790"/>
  </r>
  <r>
    <s v="__export__.sale_order_line_315"/>
    <x v="35"/>
    <x v="2"/>
    <x v="1"/>
    <x v="0"/>
    <x v="30"/>
    <s v="[WK3051] รถหัดเดินเด็ก Fish 8ล้อ สีฟ้า"/>
    <n v="465"/>
    <n v="4"/>
    <m/>
    <n v="1738.32"/>
    <n v="7.0000000000000007E-2"/>
    <n v="1860"/>
    <m/>
    <n v="2406.83"/>
    <n v="2406.83"/>
    <n v="36790"/>
    <n v="36790"/>
  </r>
  <r>
    <s v="__export__.sale_order_line_316"/>
    <x v="35"/>
    <x v="2"/>
    <x v="1"/>
    <x v="0"/>
    <x v="30"/>
    <s v="[WK3096] รถหัดเดินเด็ก Flower สีชมพู"/>
    <n v="545"/>
    <n v="6"/>
    <m/>
    <n v="3056.07"/>
    <n v="7.0000000000000007E-2"/>
    <n v="3270"/>
    <m/>
    <n v="2406.83"/>
    <n v="2406.83"/>
    <n v="36790"/>
    <n v="36790"/>
  </r>
  <r>
    <s v="__export__.sale_order_line_317"/>
    <x v="35"/>
    <x v="2"/>
    <x v="1"/>
    <x v="0"/>
    <x v="30"/>
    <s v="[WK3081] รถหัดเดินเด็ก Flower สีฟ้า"/>
    <n v="545"/>
    <n v="6"/>
    <m/>
    <n v="3056.07"/>
    <n v="7.0000000000000007E-2"/>
    <n v="3270"/>
    <m/>
    <n v="2406.83"/>
    <n v="2406.83"/>
    <n v="36790"/>
    <n v="36790"/>
  </r>
  <r>
    <s v="__export__.sale_order_line_318"/>
    <x v="35"/>
    <x v="2"/>
    <x v="1"/>
    <x v="0"/>
    <x v="30"/>
    <s v="[WK3121] รถหัดเดินเด็ก Rock and Run สีฟ้า "/>
    <n v="760"/>
    <n v="2"/>
    <m/>
    <n v="1420.56"/>
    <n v="7.0000000000000007E-2"/>
    <n v="1520"/>
    <m/>
    <n v="2406.83"/>
    <n v="2406.83"/>
    <n v="36790"/>
    <n v="36790"/>
  </r>
  <r>
    <s v="__export__.sale_order_line_319"/>
    <x v="35"/>
    <x v="2"/>
    <x v="1"/>
    <x v="0"/>
    <x v="30"/>
    <s v="[WK3121] รถหัดเดินเด็ก Rock and Run สีฟ้า "/>
    <n v="760"/>
    <n v="2"/>
    <m/>
    <n v="1420.56"/>
    <n v="7.0000000000000007E-2"/>
    <n v="1520"/>
    <m/>
    <n v="2406.83"/>
    <n v="2406.83"/>
    <n v="36790"/>
    <n v="36790"/>
  </r>
  <r>
    <s v="__export__.sale_order_line_320"/>
    <x v="35"/>
    <x v="2"/>
    <x v="1"/>
    <x v="0"/>
    <x v="30"/>
    <s v="[PT8062] กระโถนเด็ก Music สีชมพู"/>
    <n v="355"/>
    <n v="2"/>
    <m/>
    <n v="663.55"/>
    <n v="7.0000000000000007E-2"/>
    <n v="710"/>
    <m/>
    <n v="2406.83"/>
    <n v="2406.83"/>
    <n v="36790"/>
    <n v="36790"/>
  </r>
  <r>
    <s v="__export__.sale_order_line_321"/>
    <x v="35"/>
    <x v="2"/>
    <x v="1"/>
    <x v="0"/>
    <x v="30"/>
    <s v="[PT8031] กระโถนเด็ก Music สีฟ้า"/>
    <n v="355"/>
    <n v="2"/>
    <m/>
    <n v="663.55"/>
    <n v="7.0000000000000007E-2"/>
    <n v="710"/>
    <m/>
    <n v="2406.83"/>
    <n v="2406.83"/>
    <n v="36790"/>
    <n v="36790"/>
  </r>
  <r>
    <s v="__export__.sale_order_line_322"/>
    <x v="35"/>
    <x v="2"/>
    <x v="1"/>
    <x v="0"/>
    <x v="30"/>
    <s v="[ABR10014] แปรงล้างขวดนมแบบหมุนสีฟ้า"/>
    <n v="45"/>
    <n v="12"/>
    <m/>
    <n v="504.67"/>
    <n v="7.0000000000000007E-2"/>
    <n v="540"/>
    <m/>
    <n v="2406.83"/>
    <n v="2406.83"/>
    <n v="36790"/>
    <n v="36790"/>
  </r>
  <r>
    <s v="__export__.sale_order_line_323"/>
    <x v="35"/>
    <x v="2"/>
    <x v="1"/>
    <x v="0"/>
    <x v="30"/>
    <s v="[ABR10021] แปรงล้างขวดนมแบบหมุนสีเขียว"/>
    <n v="45"/>
    <n v="12"/>
    <m/>
    <n v="504.67"/>
    <n v="7.0000000000000007E-2"/>
    <n v="540"/>
    <m/>
    <n v="2406.83"/>
    <n v="2406.83"/>
    <n v="36790"/>
    <n v="36790"/>
  </r>
  <r>
    <s v="__export__.sale_order_line_324"/>
    <x v="35"/>
    <x v="2"/>
    <x v="1"/>
    <x v="0"/>
    <x v="30"/>
    <s v="[ABR1014B] แปรงล้างขวดนมและจุกนมสีฟ้า"/>
    <n v="45"/>
    <n v="12"/>
    <m/>
    <n v="504.67"/>
    <n v="7.0000000000000007E-2"/>
    <n v="540"/>
    <m/>
    <n v="2406.83"/>
    <n v="2406.83"/>
    <n v="36790"/>
    <n v="36790"/>
  </r>
  <r>
    <s v="__export__.sale_order_line_325"/>
    <x v="35"/>
    <x v="2"/>
    <x v="1"/>
    <x v="0"/>
    <x v="30"/>
    <s v="[ABR1014P] แปรงล้างขวดนมและจุกนมสีชมพู"/>
    <n v="45"/>
    <n v="12"/>
    <m/>
    <n v="504.67"/>
    <n v="7.0000000000000007E-2"/>
    <n v="540"/>
    <m/>
    <n v="2406.83"/>
    <n v="2406.83"/>
    <n v="36790"/>
    <n v="36790"/>
  </r>
  <r>
    <s v="__export__.sale_order_line_326"/>
    <x v="35"/>
    <x v="2"/>
    <x v="1"/>
    <x v="0"/>
    <x v="30"/>
    <s v="[FD12313536P12] ถ้วยหัดดื่มแขนจับ 2 Handle cup สีฟ้า-ส้ม-ชมพู Pack 12"/>
    <n v="480"/>
    <n v="2"/>
    <m/>
    <n v="897.2"/>
    <n v="7.0000000000000007E-2"/>
    <n v="960"/>
    <m/>
    <n v="2406.83"/>
    <n v="2406.83"/>
    <n v="36790"/>
    <n v="36790"/>
  </r>
  <r>
    <s v="__export__.sale_order_line_327"/>
    <x v="35"/>
    <x v="2"/>
    <x v="1"/>
    <x v="0"/>
    <x v="30"/>
    <s v="[FD12717476P72] กระติกน้ำแบบมีหลอดดูด Sport sipper cup สีฟ้า-เขียว-ชมพู Pack 12"/>
    <n v="480"/>
    <n v="2"/>
    <m/>
    <n v="897.2"/>
    <n v="7.0000000000000007E-2"/>
    <n v="960"/>
    <m/>
    <n v="2406.83"/>
    <n v="2406.83"/>
    <n v="36790"/>
    <n v="36790"/>
  </r>
  <r>
    <s v="__export__.sale_order_line_305"/>
    <x v="36"/>
    <x v="2"/>
    <x v="1"/>
    <x v="0"/>
    <x v="31"/>
    <s v="[AP3012] ไมย์แคร์ แผ่นปิดดูดสิว Day 12 "/>
    <n v="81.84"/>
    <n v="1020"/>
    <m/>
    <n v="78015.7"/>
    <n v="7.0000000000000007E-2"/>
    <n v="83476.800000000003"/>
    <m/>
    <n v="10304.540000000001"/>
    <n v="10304.540000000001"/>
    <n v="157512.24"/>
    <n v="157512.24"/>
  </r>
  <r>
    <s v="__export__.sale_order_line_306"/>
    <x v="36"/>
    <x v="2"/>
    <x v="1"/>
    <x v="0"/>
    <x v="31"/>
    <s v="[AP3112] ไมย์แคร์ แผ่นปิดดูดสิว Night 12"/>
    <n v="99.51"/>
    <n v="744"/>
    <m/>
    <n v="69192"/>
    <n v="7.0000000000000007E-2"/>
    <n v="74035.399999999994"/>
    <m/>
    <n v="10304.540000000001"/>
    <n v="10304.540000000001"/>
    <n v="157512.24"/>
    <n v="157512.24"/>
  </r>
  <r>
    <s v="__export__.sale_order_line_303"/>
    <x v="37"/>
    <x v="2"/>
    <x v="2"/>
    <x v="5"/>
    <x v="32"/>
    <s v="[EP9021] ปั๊มนมไฟฟ้า  สีฟ้า"/>
    <n v="1390"/>
    <n v="12"/>
    <n v="490"/>
    <n v="10093.459999999999"/>
    <n v="7.0000000000000007E-2"/>
    <n v="10800"/>
    <b v="1"/>
    <n v="1413.08"/>
    <n v="1413.08"/>
    <n v="21600"/>
    <n v="21600"/>
  </r>
  <r>
    <s v="__export__.sale_order_line_304"/>
    <x v="37"/>
    <x v="2"/>
    <x v="2"/>
    <x v="5"/>
    <x v="32"/>
    <s v="[EP9024] ปั๊มนมไฟฟ้า สีเขียว"/>
    <n v="1390"/>
    <n v="12"/>
    <n v="490"/>
    <n v="10093.459999999999"/>
    <n v="7.0000000000000007E-2"/>
    <n v="10800"/>
    <b v="1"/>
    <n v="1413.08"/>
    <n v="1413.08"/>
    <n v="21600"/>
    <n v="21600"/>
  </r>
  <r>
    <s v="__export__.sale_order_line_302"/>
    <x v="38"/>
    <x v="3"/>
    <x v="2"/>
    <x v="0"/>
    <x v="33"/>
    <s v="[SZ4054] เครื่องนึ่งขวดนม Stand Teflon สีเขียว "/>
    <n v="990"/>
    <n v="1"/>
    <m/>
    <n v="925.23"/>
    <n v="7.0000000000000007E-2"/>
    <n v="990"/>
    <b v="1"/>
    <n v="64.77"/>
    <n v="64.77"/>
    <n v="990"/>
    <n v="990"/>
  </r>
  <r>
    <s v="__export__.sale_order_line_301"/>
    <x v="39"/>
    <x v="3"/>
    <x v="2"/>
    <x v="0"/>
    <x v="34"/>
    <s v="[EP9024] ปั๊มนมไฟฟ้า สีเขียว"/>
    <n v="1990"/>
    <n v="1"/>
    <m/>
    <n v="1859.81"/>
    <n v="7.0000000000000007E-2"/>
    <n v="1990"/>
    <b v="1"/>
    <n v="130.19"/>
    <n v="130.19"/>
    <n v="1990"/>
    <n v="1990"/>
  </r>
  <r>
    <s v="__export__.sale_order_line_300"/>
    <x v="40"/>
    <x v="3"/>
    <x v="2"/>
    <x v="0"/>
    <x v="35"/>
    <s v="[BT2046] Baby Bathtub อ่างอาบน้ำเด็กขอบจับ สีชมพู"/>
    <n v="450"/>
    <n v="1"/>
    <n v="60"/>
    <n v="364.49"/>
    <n v="7.0000000000000007E-2"/>
    <n v="390"/>
    <b v="1"/>
    <n v="25.51"/>
    <n v="25.51"/>
    <n v="390"/>
    <n v="390"/>
  </r>
  <r>
    <s v="__export__.sale_order_line_299"/>
    <x v="41"/>
    <x v="3"/>
    <x v="2"/>
    <x v="0"/>
    <x v="36"/>
    <s v="[BT2031] Baby Bathtub อ่างอาบน้ำเด็กขอบจับ สีฟ้า"/>
    <n v="450"/>
    <n v="1"/>
    <n v="60"/>
    <n v="364.49"/>
    <n v="7.0000000000000007E-2"/>
    <n v="390"/>
    <b v="1"/>
    <n v="25.51"/>
    <n v="25.51"/>
    <n v="390"/>
    <n v="390"/>
  </r>
  <r>
    <s v="__export__.sale_order_line_298"/>
    <x v="42"/>
    <x v="3"/>
    <x v="2"/>
    <x v="0"/>
    <x v="37"/>
    <s v="[MP9010] ปั๊มนมก้านโยก สีขาว"/>
    <n v="499"/>
    <n v="1"/>
    <m/>
    <n v="466.36"/>
    <n v="7.0000000000000007E-2"/>
    <n v="499"/>
    <b v="1"/>
    <n v="32.64"/>
    <n v="32.64"/>
    <n v="499"/>
    <n v="499"/>
  </r>
  <r>
    <s v="__export__.sale_order_line_297"/>
    <x v="43"/>
    <x v="3"/>
    <x v="2"/>
    <x v="0"/>
    <x v="38"/>
    <s v="[BT0216] Baby Bathtub อ่างอาบน้ำเด็กขนาดใหญ่ สีชมพู "/>
    <n v="890"/>
    <n v="1"/>
    <m/>
    <n v="831.78"/>
    <n v="7.0000000000000007E-2"/>
    <n v="890"/>
    <b v="1"/>
    <n v="58.22"/>
    <n v="58.22"/>
    <n v="890"/>
    <n v="890"/>
  </r>
  <r>
    <s v="__export__.sale_order_line_296"/>
    <x v="44"/>
    <x v="3"/>
    <x v="2"/>
    <x v="0"/>
    <x v="39"/>
    <s v="[SL5021] รถเข็นเด็ก Mini สีฟ้า"/>
    <n v="990"/>
    <n v="1"/>
    <m/>
    <n v="925.23"/>
    <n v="7.0000000000000007E-2"/>
    <n v="990"/>
    <b v="1"/>
    <n v="64.77"/>
    <n v="64.77"/>
    <n v="990"/>
    <n v="990"/>
  </r>
  <r>
    <s v="__export__.sale_order_line_295"/>
    <x v="45"/>
    <x v="3"/>
    <x v="2"/>
    <x v="0"/>
    <x v="40"/>
    <s v="[PT8062] กระโถนเด็ก Music สีชมพู"/>
    <n v="790"/>
    <n v="1"/>
    <n v="100"/>
    <n v="644.86"/>
    <n v="7.0000000000000007E-2"/>
    <n v="690"/>
    <b v="1"/>
    <n v="45.14"/>
    <n v="45.14"/>
    <n v="690"/>
    <n v="690"/>
  </r>
  <r>
    <s v="__export__.sale_order_line_293"/>
    <x v="46"/>
    <x v="3"/>
    <x v="2"/>
    <x v="0"/>
    <x v="41"/>
    <s v="[BT0226] Baby Bathtub อ่างอาบน้ำเด็กขนาดกลาง สีชมพู"/>
    <n v="950"/>
    <n v="1"/>
    <m/>
    <n v="887.85"/>
    <n v="7.0000000000000007E-2"/>
    <n v="950"/>
    <b v="1"/>
    <n v="62.15"/>
    <n v="62.15"/>
    <n v="950"/>
    <n v="950"/>
  </r>
  <r>
    <s v="__export__.sale_order_line_294"/>
    <x v="46"/>
    <x v="3"/>
    <x v="2"/>
    <x v="0"/>
    <x v="41"/>
    <s v="[BT0239] Baby Bath Chair ที่กันลื่น สีขาว"/>
    <n v="220"/>
    <n v="1"/>
    <n v="220"/>
    <m/>
    <n v="7.0000000000000007E-2"/>
    <n v="0"/>
    <b v="1"/>
    <n v="62.15"/>
    <n v="62.15"/>
    <n v="950"/>
    <n v="950"/>
  </r>
  <r>
    <s v="__export__.sale_order_line_292"/>
    <x v="47"/>
    <x v="3"/>
    <x v="2"/>
    <x v="0"/>
    <x v="42"/>
    <s v="[AP3014] ไมย์แคร์ แผ่นปิดดูดสิว Day 6"/>
    <n v="51.35"/>
    <n v="100"/>
    <m/>
    <n v="4799.07"/>
    <n v="7.0000000000000007E-2"/>
    <n v="5135"/>
    <b v="1"/>
    <n v="335.93"/>
    <n v="335.93"/>
    <n v="5135"/>
    <n v="5135"/>
  </r>
  <r>
    <s v="__export__.sale_order_line_291"/>
    <x v="48"/>
    <x v="3"/>
    <x v="1"/>
    <x v="2"/>
    <x v="43"/>
    <s v="[BS7019] โต๊ะนั่งกินข้าวสำหรับเด็ก"/>
    <n v="1290"/>
    <n v="4"/>
    <n v="690"/>
    <n v="2242.9899999999998"/>
    <n v="7.0000000000000007E-2"/>
    <n v="2400"/>
    <m/>
    <n v="157.01"/>
    <n v="157.01"/>
    <n v="2400"/>
    <n v="2400"/>
  </r>
  <r>
    <s v="__export__.sale_order_line_284"/>
    <x v="49"/>
    <x v="3"/>
    <x v="2"/>
    <x v="2"/>
    <x v="44"/>
    <s v="[WK3051] รถหัดเดินเด็ก Fish 8ล้อ สีฟ้า"/>
    <n v="690"/>
    <n v="6"/>
    <n v="140"/>
    <n v="3084.11"/>
    <n v="7.0000000000000007E-2"/>
    <n v="3300"/>
    <b v="1"/>
    <n v="836.73"/>
    <n v="836.73"/>
    <n v="12790"/>
    <n v="12790"/>
  </r>
  <r>
    <s v="__export__.sale_order_line_285"/>
    <x v="49"/>
    <x v="3"/>
    <x v="2"/>
    <x v="2"/>
    <x v="44"/>
    <s v="[WK3046] รถหัดเดินเด็ก Fish 8ล้อ สีชมพู"/>
    <n v="690"/>
    <n v="6"/>
    <n v="140"/>
    <n v="3084.11"/>
    <n v="7.0000000000000007E-2"/>
    <n v="3300"/>
    <b v="1"/>
    <n v="836.73"/>
    <n v="836.73"/>
    <n v="12790"/>
    <n v="12790"/>
  </r>
  <r>
    <s v="__export__.sale_order_line_286"/>
    <x v="49"/>
    <x v="3"/>
    <x v="2"/>
    <x v="2"/>
    <x v="44"/>
    <s v="[WK3011] รถหัดเดินเด็ก 2in1 สีฟ้า"/>
    <n v="970"/>
    <n v="2"/>
    <n v="255"/>
    <n v="1336.45"/>
    <n v="7.0000000000000007E-2"/>
    <n v="1430"/>
    <b v="1"/>
    <n v="836.73"/>
    <n v="836.73"/>
    <n v="12790"/>
    <n v="12790"/>
  </r>
  <r>
    <s v="__export__.sale_order_line_287"/>
    <x v="49"/>
    <x v="3"/>
    <x v="2"/>
    <x v="2"/>
    <x v="44"/>
    <s v="[WK3026] รถหัดเดินเด็ก 2in1 สีชมพู"/>
    <n v="970"/>
    <n v="2"/>
    <n v="255"/>
    <n v="1336.45"/>
    <n v="7.0000000000000007E-2"/>
    <n v="1430"/>
    <b v="1"/>
    <n v="836.73"/>
    <n v="836.73"/>
    <n v="12790"/>
    <n v="12790"/>
  </r>
  <r>
    <s v="__export__.sale_order_line_288"/>
    <x v="49"/>
    <x v="3"/>
    <x v="2"/>
    <x v="2"/>
    <x v="44"/>
    <s v="[WK3034] รถหัดเดินเด็ก 2in1 สีเขียว"/>
    <n v="970"/>
    <n v="2"/>
    <n v="255"/>
    <n v="1336.45"/>
    <n v="7.0000000000000007E-2"/>
    <n v="1430"/>
    <b v="1"/>
    <n v="836.73"/>
    <n v="836.73"/>
    <n v="12790"/>
    <n v="12790"/>
  </r>
  <r>
    <s v="__export__.sale_order_line_289"/>
    <x v="49"/>
    <x v="3"/>
    <x v="2"/>
    <x v="2"/>
    <x v="44"/>
    <s v="[WK3121] รถหัดเดินเด็ก Rock and Run สีฟ้า "/>
    <n v="1180"/>
    <n v="1"/>
    <n v="230"/>
    <n v="887.85"/>
    <n v="7.0000000000000007E-2"/>
    <n v="950"/>
    <b v="1"/>
    <n v="836.73"/>
    <n v="836.73"/>
    <n v="12790"/>
    <n v="12790"/>
  </r>
  <r>
    <s v="__export__.sale_order_line_290"/>
    <x v="49"/>
    <x v="3"/>
    <x v="2"/>
    <x v="2"/>
    <x v="44"/>
    <s v="[WK3136] รถหัดเดินเด็ก Rock and Run สีชมพู"/>
    <n v="1180"/>
    <n v="1"/>
    <n v="230"/>
    <n v="887.85"/>
    <n v="7.0000000000000007E-2"/>
    <n v="950"/>
    <b v="1"/>
    <n v="836.73"/>
    <n v="836.73"/>
    <n v="12790"/>
    <n v="12790"/>
  </r>
  <r>
    <s v="__export__.sale_order_line_281"/>
    <x v="50"/>
    <x v="3"/>
    <x v="1"/>
    <x v="2"/>
    <x v="45"/>
    <s v="[MP9010] ปั๊มนมก้านโยก สีขาว"/>
    <n v="390"/>
    <n v="6"/>
    <n v="170"/>
    <n v="1233.6400000000001"/>
    <n v="7.0000000000000007E-2"/>
    <n v="1320"/>
    <m/>
    <n v="263"/>
    <n v="263"/>
    <n v="4020"/>
    <n v="4020"/>
  </r>
  <r>
    <s v="__export__.sale_order_line_282"/>
    <x v="50"/>
    <x v="3"/>
    <x v="1"/>
    <x v="2"/>
    <x v="45"/>
    <s v="[EP9021] ปั๊มนมไฟฟ้า  สีฟ้า"/>
    <n v="1390"/>
    <n v="2"/>
    <n v="490"/>
    <n v="1682.24"/>
    <n v="7.0000000000000007E-2"/>
    <n v="1800"/>
    <m/>
    <n v="263"/>
    <n v="263"/>
    <n v="4020"/>
    <n v="4020"/>
  </r>
  <r>
    <s v="__export__.sale_order_line_283"/>
    <x v="50"/>
    <x v="3"/>
    <x v="1"/>
    <x v="2"/>
    <x v="45"/>
    <s v="[EP9024] ปั๊มนมไฟฟ้า สีเขียว"/>
    <n v="1390"/>
    <n v="1"/>
    <n v="490"/>
    <n v="841.12"/>
    <n v="7.0000000000000007E-2"/>
    <n v="900"/>
    <m/>
    <n v="263"/>
    <n v="263"/>
    <n v="4020"/>
    <n v="4020"/>
  </r>
  <r>
    <s v="__export__.sale_order_line_279"/>
    <x v="51"/>
    <x v="3"/>
    <x v="0"/>
    <x v="2"/>
    <x v="45"/>
    <s v="[AP3014] ไมย์แคร์ แผ่นปิดดูดสิว Day 6"/>
    <n v="47.99"/>
    <n v="24"/>
    <m/>
    <n v="1076.4100000000001"/>
    <n v="7.0000000000000007E-2"/>
    <n v="1151.8"/>
    <m/>
    <n v="160.22999999999999"/>
    <n v="160.22999999999999"/>
    <n v="2449.1999999999998"/>
    <n v="2449.1999999999998"/>
  </r>
  <r>
    <s v="__export__.sale_order_line_280"/>
    <x v="51"/>
    <x v="3"/>
    <x v="0"/>
    <x v="2"/>
    <x v="45"/>
    <s v="[AP3114] ไมย์แคร์ แผ่นปิดดูดสิว Night 6"/>
    <n v="54.06"/>
    <n v="24"/>
    <m/>
    <n v="1212.56"/>
    <n v="7.0000000000000007E-2"/>
    <n v="1297.4000000000001"/>
    <m/>
    <n v="160.22999999999999"/>
    <n v="160.22999999999999"/>
    <n v="2449.1999999999998"/>
    <n v="2449.1999999999998"/>
  </r>
  <r>
    <s v="__export__.sale_order_line_278"/>
    <x v="52"/>
    <x v="3"/>
    <x v="2"/>
    <x v="2"/>
    <x v="45"/>
    <s v="[FD1274] กระติกน้ำแบบมีหลอดดูด Sport sipper cup สีเขียว"/>
    <n v="70"/>
    <n v="1"/>
    <n v="8"/>
    <n v="57.94"/>
    <n v="7.0000000000000007E-2"/>
    <n v="62"/>
    <b v="1"/>
    <n v="4.0599999999999996"/>
    <n v="4.0599999999999996"/>
    <n v="62"/>
    <n v="62"/>
  </r>
  <r>
    <s v="__export__.sale_order_line_276"/>
    <x v="53"/>
    <x v="3"/>
    <x v="2"/>
    <x v="1"/>
    <x v="4"/>
    <s v="[PT8031] กระโถนเด็ก Music สีฟ้า"/>
    <n v="550"/>
    <n v="2"/>
    <n v="50"/>
    <n v="934.58"/>
    <n v="7.0000000000000007E-2"/>
    <n v="1000"/>
    <b v="1"/>
    <n v="98.13"/>
    <n v="98.13"/>
    <n v="1500"/>
    <n v="1500"/>
  </r>
  <r>
    <s v="__export__.sale_order_line_277"/>
    <x v="53"/>
    <x v="3"/>
    <x v="2"/>
    <x v="1"/>
    <x v="4"/>
    <s v="[PT8062] กระโถนเด็ก Music สีชมพู"/>
    <n v="550"/>
    <n v="1"/>
    <n v="50"/>
    <n v="467.29"/>
    <n v="7.0000000000000007E-2"/>
    <n v="500"/>
    <b v="1"/>
    <n v="98.13"/>
    <n v="98.13"/>
    <n v="1500"/>
    <n v="1500"/>
  </r>
  <r>
    <s v="__export__.sale_order_line_275"/>
    <x v="54"/>
    <x v="3"/>
    <x v="2"/>
    <x v="2"/>
    <x v="46"/>
    <s v="[FD1271] กระติกน้ำแบบมีหลอดดูด Sport sipper cup สีฟ้า"/>
    <n v="70"/>
    <n v="1"/>
    <n v="70"/>
    <m/>
    <n v="7.0000000000000007E-2"/>
    <n v="0"/>
    <b v="1"/>
    <m/>
    <m/>
    <m/>
    <m/>
  </r>
  <r>
    <s v="__export__.sale_order_line_273"/>
    <x v="55"/>
    <x v="4"/>
    <x v="0"/>
    <x v="3"/>
    <x v="23"/>
    <s v="[SZ405461P2] เครื่องนึ่งขวดนมStandTeflonสีฟ้า สีเขียวP2"/>
    <n v="1671.02"/>
    <n v="1"/>
    <m/>
    <n v="1561.7"/>
    <n v="7.0000000000000007E-2"/>
    <n v="1671"/>
    <m/>
    <n v="151.44999999999999"/>
    <n v="151.44999999999999"/>
    <n v="2314.94"/>
    <n v="2314.94"/>
  </r>
  <r>
    <s v="__export__.sale_order_line_274"/>
    <x v="55"/>
    <x v="4"/>
    <x v="0"/>
    <x v="3"/>
    <x v="23"/>
    <s v="[ABR1014P12] แปรงล้างขวดนมและจุกนมสีฟ้า-ชมพู Pack 12"/>
    <n v="643.91999999999996"/>
    <n v="1"/>
    <m/>
    <n v="601.79"/>
    <n v="7.0000000000000007E-2"/>
    <n v="643.9"/>
    <m/>
    <n v="151.44999999999999"/>
    <n v="151.44999999999999"/>
    <n v="2314.94"/>
    <n v="2314.94"/>
  </r>
  <r>
    <s v="__export__.sale_order_line_271"/>
    <x v="56"/>
    <x v="4"/>
    <x v="2"/>
    <x v="0"/>
    <x v="47"/>
    <s v="[AP3014] ไมย์แคร์ แผ่นปิดดูดสิว Day 6"/>
    <n v="51.74"/>
    <n v="24"/>
    <m/>
    <n v="1160.52"/>
    <n v="7.0000000000000007E-2"/>
    <n v="1241.8"/>
    <b v="1"/>
    <n v="81.239999999999995"/>
    <n v="81.239999999999995"/>
    <n v="1241.76"/>
    <n v="1241.76"/>
  </r>
  <r>
    <s v="__export__.sale_order_line_270"/>
    <x v="57"/>
    <x v="4"/>
    <x v="2"/>
    <x v="0"/>
    <x v="48"/>
    <s v="[SZ4034P1] เครื่องนึ่งขวดนมDyerTeflonสีเขียว P1"/>
    <n v="1950"/>
    <n v="1"/>
    <n v="1950"/>
    <m/>
    <n v="7.0000000000000007E-2"/>
    <n v="0"/>
    <b v="1"/>
    <m/>
    <m/>
    <m/>
    <m/>
  </r>
  <r>
    <s v="__export__.sale_order_line_268"/>
    <x v="58"/>
    <x v="4"/>
    <x v="0"/>
    <x v="0"/>
    <x v="49"/>
    <s v="[WK3026P1] รถหัดเดินสำหรับเด็ก2in1สีชมพู P1"/>
    <n v="667.29"/>
    <n v="15"/>
    <m/>
    <n v="9354.5300000000007"/>
    <n v="7.0000000000000007E-2"/>
    <n v="10009.299999999999"/>
    <m/>
    <n v="1309.6400000000001"/>
    <n v="1309.6400000000001"/>
    <n v="20018.7"/>
    <n v="20018.7"/>
  </r>
  <r>
    <s v="__export__.sale_order_line_269"/>
    <x v="58"/>
    <x v="4"/>
    <x v="0"/>
    <x v="0"/>
    <x v="49"/>
    <s v="[WK3011P1] รถหัดเดินสำหรับเด็ก2in1สีฟ้า P1"/>
    <n v="667.29"/>
    <n v="15"/>
    <m/>
    <n v="9354.5300000000007"/>
    <n v="7.0000000000000007E-2"/>
    <n v="10009.299999999999"/>
    <m/>
    <n v="1309.6400000000001"/>
    <n v="1309.6400000000001"/>
    <n v="20018.7"/>
    <n v="20018.7"/>
  </r>
  <r>
    <s v="__export__.sale_order_line_266"/>
    <x v="59"/>
    <x v="4"/>
    <x v="0"/>
    <x v="0"/>
    <x v="50"/>
    <s v="[AP3014] ไมย์แคร์ แผ่นปิดดูดสิว เดย์ 6"/>
    <n v="51.68"/>
    <n v="7"/>
    <m/>
    <n v="338.09"/>
    <n v="7.0000000000000007E-2"/>
    <n v="361.8"/>
    <m/>
    <n v="35.57"/>
    <n v="35.57"/>
    <n v="543.62"/>
    <n v="543.62"/>
  </r>
  <r>
    <s v="__export__.sale_order_line_267"/>
    <x v="59"/>
    <x v="4"/>
    <x v="0"/>
    <x v="0"/>
    <x v="50"/>
    <s v="[AP3012] ไมย์แคร์ แผ่นปิดดูดสิว เดย์ 12 "/>
    <n v="90.93"/>
    <n v="2"/>
    <m/>
    <n v="169.96"/>
    <n v="7.0000000000000007E-2"/>
    <n v="181.9"/>
    <m/>
    <n v="35.57"/>
    <n v="35.57"/>
    <n v="543.62"/>
    <n v="543.62"/>
  </r>
  <r>
    <s v="__export__.sale_order_line_263"/>
    <x v="60"/>
    <x v="4"/>
    <x v="0"/>
    <x v="0"/>
    <x v="50"/>
    <s v="[WK3034P1] รถหัดเดินสำหรับเด็ก2in1สีเขียว P1"/>
    <n v="700.94"/>
    <n v="25"/>
    <m/>
    <n v="16377.1"/>
    <n v="7.0000000000000007E-2"/>
    <n v="17523.5"/>
    <m/>
    <n v="4585.59"/>
    <n v="4585.59"/>
    <n v="70094"/>
    <n v="70094"/>
  </r>
  <r>
    <s v="__export__.sale_order_line_264"/>
    <x v="60"/>
    <x v="4"/>
    <x v="0"/>
    <x v="0"/>
    <x v="50"/>
    <s v="[WK3026P1] รถหัดเดินสำหรับเด็ก2in1สีชมพู P1"/>
    <n v="700.94"/>
    <n v="25"/>
    <m/>
    <n v="16377.1"/>
    <n v="7.0000000000000007E-2"/>
    <n v="17523.5"/>
    <m/>
    <n v="4585.59"/>
    <n v="4585.59"/>
    <n v="70094"/>
    <n v="70094"/>
  </r>
  <r>
    <s v="__export__.sale_order_line_265"/>
    <x v="60"/>
    <x v="4"/>
    <x v="0"/>
    <x v="0"/>
    <x v="50"/>
    <s v="[WK3011P1] รถหัดเดินสำหรับเด็ก2in1สีฟ้า P1"/>
    <n v="700.94"/>
    <n v="50"/>
    <m/>
    <n v="32754.21"/>
    <n v="7.0000000000000007E-2"/>
    <n v="35047"/>
    <m/>
    <n v="4585.59"/>
    <n v="4585.59"/>
    <n v="70094"/>
    <n v="70094"/>
  </r>
  <r>
    <s v="__export__.sale_order_line_258"/>
    <x v="61"/>
    <x v="4"/>
    <x v="2"/>
    <x v="0"/>
    <x v="30"/>
    <s v="[BS7019] โต๊ะนั่งกินข้าวสำหรับเด็กสีขาว น้ำเงิน เขียว P1"/>
    <n v="550"/>
    <n v="5"/>
    <m/>
    <n v="2570.09"/>
    <n v="7.0000000000000007E-2"/>
    <n v="2750"/>
    <b v="1"/>
    <n v="627.25"/>
    <n v="627.25"/>
    <n v="9588.2000000000007"/>
    <n v="9588.2000000000007"/>
  </r>
  <r>
    <s v="__export__.sale_order_line_259"/>
    <x v="61"/>
    <x v="4"/>
    <x v="2"/>
    <x v="0"/>
    <x v="30"/>
    <s v="[SL5017P1] รถเข็นสำหรับเด็ก Miniสีแดง P1"/>
    <n v="620.37"/>
    <n v="3"/>
    <m/>
    <n v="1739.36"/>
    <n v="7.0000000000000007E-2"/>
    <n v="1861.1"/>
    <b v="1"/>
    <n v="627.25"/>
    <n v="627.25"/>
    <n v="9588.2000000000007"/>
    <n v="9588.2000000000007"/>
  </r>
  <r>
    <s v="__export__.sale_order_line_260"/>
    <x v="61"/>
    <x v="4"/>
    <x v="2"/>
    <x v="0"/>
    <x v="30"/>
    <s v="[SL5021P1] รถเข็นสำหรับเด็ก Miniสีฟ้า P1"/>
    <n v="620.37"/>
    <n v="3"/>
    <m/>
    <n v="1739.36"/>
    <n v="7.0000000000000007E-2"/>
    <n v="1861.1"/>
    <b v="1"/>
    <n v="627.25"/>
    <n v="627.25"/>
    <n v="9588.2000000000007"/>
    <n v="9588.2000000000007"/>
  </r>
  <r>
    <s v="__export__.sale_order_line_261"/>
    <x v="61"/>
    <x v="4"/>
    <x v="2"/>
    <x v="0"/>
    <x v="30"/>
    <s v="[WK3081P1] รถหัดเดินสำหรับเด็กFlowerสีฟ้า P1"/>
    <n v="519.33000000000004"/>
    <n v="3"/>
    <m/>
    <n v="1456.07"/>
    <n v="7.0000000000000007E-2"/>
    <n v="1558"/>
    <b v="1"/>
    <n v="627.25"/>
    <n v="627.25"/>
    <n v="9588.2000000000007"/>
    <n v="9588.2000000000007"/>
  </r>
  <r>
    <s v="__export__.sale_order_line_262"/>
    <x v="61"/>
    <x v="4"/>
    <x v="2"/>
    <x v="0"/>
    <x v="30"/>
    <s v="[WK3096P1] รถหัดเดินสำหรับเด็กFlowerสีชมพู P1"/>
    <n v="519.33000000000004"/>
    <n v="3"/>
    <m/>
    <n v="1456.07"/>
    <n v="7.0000000000000007E-2"/>
    <n v="1558"/>
    <b v="1"/>
    <n v="627.25"/>
    <n v="627.25"/>
    <n v="9588.2000000000007"/>
    <n v="9588.2000000000007"/>
  </r>
  <r>
    <s v="__export__.sale_order_line_251"/>
    <x v="62"/>
    <x v="4"/>
    <x v="2"/>
    <x v="0"/>
    <x v="51"/>
    <s v="[MP9010W] ปั๊มนมก้านโยก สีขาว P1"/>
    <n v="390"/>
    <n v="6"/>
    <n v="170"/>
    <n v="1233.6400000000001"/>
    <n v="7.0000000000000007E-2"/>
    <n v="1320"/>
    <b v="1"/>
    <n v="546.92999999999995"/>
    <n v="546.92999999999995"/>
    <n v="8360"/>
    <n v="8360"/>
  </r>
  <r>
    <s v="__export__.sale_order_line_252"/>
    <x v="62"/>
    <x v="4"/>
    <x v="2"/>
    <x v="0"/>
    <x v="51"/>
    <s v="[EP90212BL] ปั๊มนมไฟฟ้า  สีฟ้า P1"/>
    <n v="1390"/>
    <n v="3"/>
    <n v="490"/>
    <n v="2523.36"/>
    <n v="7.0000000000000007E-2"/>
    <n v="2700"/>
    <b v="1"/>
    <n v="546.92999999999995"/>
    <n v="546.92999999999995"/>
    <n v="8360"/>
    <n v="8360"/>
  </r>
  <r>
    <s v="__export__.sale_order_line_253"/>
    <x v="62"/>
    <x v="4"/>
    <x v="2"/>
    <x v="0"/>
    <x v="51"/>
    <s v="[BT0239W] Baby Bath Chair ที่กันลื่น สีขาว"/>
    <n v="220"/>
    <n v="4"/>
    <n v="60"/>
    <n v="598.13"/>
    <n v="7.0000000000000007E-2"/>
    <n v="640"/>
    <b v="1"/>
    <n v="546.92999999999995"/>
    <n v="546.92999999999995"/>
    <n v="8360"/>
    <n v="8360"/>
  </r>
  <r>
    <s v="__export__.sale_order_line_254"/>
    <x v="62"/>
    <x v="4"/>
    <x v="2"/>
    <x v="0"/>
    <x v="51"/>
    <s v="[PT8019] กระโถนสำหรับเด็ก 3in1 สีม่วง ขาว P1"/>
    <n v="480"/>
    <n v="2"/>
    <n v="130"/>
    <n v="654.21"/>
    <n v="7.0000000000000007E-2"/>
    <n v="700"/>
    <b v="1"/>
    <n v="546.92999999999995"/>
    <n v="546.92999999999995"/>
    <n v="8360"/>
    <n v="8360"/>
  </r>
  <r>
    <s v="__export__.sale_order_line_255"/>
    <x v="62"/>
    <x v="4"/>
    <x v="2"/>
    <x v="0"/>
    <x v="51"/>
    <s v="[SL5077P1] รถเข็นสำหรับเด็กMaxiสีแดง P1"/>
    <n v="1390"/>
    <n v="1"/>
    <n v="590"/>
    <n v="747.66"/>
    <n v="7.0000000000000007E-2"/>
    <n v="800"/>
    <b v="1"/>
    <n v="546.92999999999995"/>
    <n v="546.92999999999995"/>
    <n v="8360"/>
    <n v="8360"/>
  </r>
  <r>
    <s v="__export__.sale_order_line_256"/>
    <x v="62"/>
    <x v="4"/>
    <x v="2"/>
    <x v="0"/>
    <x v="51"/>
    <s v="[SL5081P1] รถเข็นสำหรับเด็กMaxiสีฟ้า P1"/>
    <n v="1390"/>
    <n v="1"/>
    <n v="590"/>
    <n v="747.66"/>
    <n v="7.0000000000000007E-2"/>
    <n v="800"/>
    <b v="1"/>
    <n v="546.92999999999995"/>
    <n v="546.92999999999995"/>
    <n v="8360"/>
    <n v="8360"/>
  </r>
  <r>
    <s v="__export__.sale_order_line_257"/>
    <x v="62"/>
    <x v="4"/>
    <x v="2"/>
    <x v="0"/>
    <x v="51"/>
    <s v="[RK1041P1] เปลโยกสำหรับเด็กBearสีฟ้า P1"/>
    <n v="1600"/>
    <n v="1"/>
    <n v="200"/>
    <n v="1308.4100000000001"/>
    <n v="7.0000000000000007E-2"/>
    <n v="1400"/>
    <b v="1"/>
    <n v="546.92999999999995"/>
    <n v="546.92999999999995"/>
    <n v="8360"/>
    <n v="8360"/>
  </r>
  <r>
    <s v="__export__.sale_order_line_250"/>
    <x v="63"/>
    <x v="5"/>
    <x v="2"/>
    <x v="0"/>
    <x v="52"/>
    <s v="[SL5064P1] รถเข็นสำหรับเด็กMini2สีเขียว P1"/>
    <n v="970"/>
    <n v="2"/>
    <n v="170"/>
    <n v="1495.33"/>
    <n v="7.0000000000000007E-2"/>
    <n v="1600"/>
    <b v="1"/>
    <n v="104.67"/>
    <n v="104.67"/>
    <n v="1600"/>
    <n v="1600"/>
  </r>
  <r>
    <s v="__export__.sale_order_line_248"/>
    <x v="64"/>
    <x v="5"/>
    <x v="2"/>
    <x v="6"/>
    <x v="53"/>
    <s v="[SL5077P1] รถเข็นสำหรับเด็กMaxiสีแดง P1"/>
    <n v="1390"/>
    <n v="2"/>
    <n v="200"/>
    <n v="2224.3000000000002"/>
    <n v="7.0000000000000007E-2"/>
    <n v="2380"/>
    <b v="1"/>
    <n v="311.39999999999998"/>
    <n v="311.39999999999998"/>
    <n v="4760"/>
    <n v="4760"/>
  </r>
  <r>
    <s v="__export__.sale_order_line_249"/>
    <x v="64"/>
    <x v="5"/>
    <x v="2"/>
    <x v="6"/>
    <x v="53"/>
    <s v="[SL5081P1] รถเข็นสำหรับเด็กMaxiสีฟ้า P1"/>
    <n v="1390"/>
    <n v="2"/>
    <n v="200"/>
    <n v="2224.3000000000002"/>
    <n v="7.0000000000000007E-2"/>
    <n v="2380"/>
    <b v="1"/>
    <n v="311.39999999999998"/>
    <n v="311.39999999999998"/>
    <n v="4760"/>
    <n v="4760"/>
  </r>
  <r>
    <s v="__export__.sale_order_line_247"/>
    <x v="65"/>
    <x v="5"/>
    <x v="2"/>
    <x v="2"/>
    <x v="54"/>
    <s v="[SZ4034P1] เครื่องนึ่งขวดนมDyerTeflonสีฟ้า P1"/>
    <n v="1950"/>
    <n v="2"/>
    <n v="600"/>
    <n v="2523.36"/>
    <n v="7.0000000000000007E-2"/>
    <n v="2700"/>
    <b v="1"/>
    <n v="176.64"/>
    <n v="176.64"/>
    <n v="2700"/>
    <n v="2700"/>
  </r>
  <r>
    <s v="__export__.sale_order_line_245"/>
    <x v="66"/>
    <x v="5"/>
    <x v="2"/>
    <x v="0"/>
    <x v="55"/>
    <s v="[EP90212BL] ปั๊มนมไฟฟ้า  สีฟ้า P1"/>
    <n v="1390"/>
    <n v="3"/>
    <n v="490"/>
    <n v="2523.36"/>
    <n v="7.0000000000000007E-2"/>
    <n v="2700"/>
    <b v="1"/>
    <n v="353.28"/>
    <n v="353.28"/>
    <n v="5400"/>
    <n v="5400"/>
  </r>
  <r>
    <s v="__export__.sale_order_line_246"/>
    <x v="66"/>
    <x v="5"/>
    <x v="2"/>
    <x v="0"/>
    <x v="55"/>
    <s v="[EP9024G] ปั๊มนมไฟฟ้า สีเขียว P1"/>
    <n v="1390"/>
    <n v="3"/>
    <n v="490"/>
    <n v="2523.36"/>
    <n v="7.0000000000000007E-2"/>
    <n v="2700"/>
    <b v="1"/>
    <n v="353.28"/>
    <n v="353.28"/>
    <n v="5400"/>
    <n v="5400"/>
  </r>
  <r>
    <s v="__export__.sale_order_line_244"/>
    <x v="67"/>
    <x v="5"/>
    <x v="2"/>
    <x v="0"/>
    <x v="56"/>
    <s v="[SZ4071P1] เครื่องนึ่งขวดนมTimerTeflonสีฟ้า P1"/>
    <n v="1228.5"/>
    <n v="1"/>
    <m/>
    <n v="1148.1300000000001"/>
    <n v="7.0000000000000007E-2"/>
    <n v="1228.5"/>
    <b v="1"/>
    <n v="80.37"/>
    <n v="80.37"/>
    <n v="1228.5"/>
    <n v="1228.5"/>
  </r>
  <r>
    <s v="__export__.sale_order_line_234"/>
    <x v="68"/>
    <x v="5"/>
    <x v="2"/>
    <x v="0"/>
    <x v="21"/>
    <s v="[RK1032P1] เปลโยกสำหรับเด็กBear สีน้ำตาล P1"/>
    <n v="1600"/>
    <n v="1"/>
    <n v="250"/>
    <n v="1261.68"/>
    <n v="7.0000000000000007E-2"/>
    <n v="1350"/>
    <b v="1"/>
    <n v="668.6"/>
    <n v="668.6"/>
    <n v="10220"/>
    <n v="10220"/>
  </r>
  <r>
    <s v="__export__.sale_order_line_235"/>
    <x v="68"/>
    <x v="5"/>
    <x v="2"/>
    <x v="0"/>
    <x v="21"/>
    <s v="[RK1041P1] เปลโยกสำหรับเด็กBearสีฟ้า P1"/>
    <n v="1600"/>
    <n v="1"/>
    <n v="250"/>
    <n v="1261.68"/>
    <n v="7.0000000000000007E-2"/>
    <n v="1350"/>
    <b v="1"/>
    <n v="668.6"/>
    <n v="668.6"/>
    <n v="10220"/>
    <n v="10220"/>
  </r>
  <r>
    <s v="__export__.sale_order_line_236"/>
    <x v="68"/>
    <x v="5"/>
    <x v="2"/>
    <x v="0"/>
    <x v="21"/>
    <s v="[WK3011P1] รถหัดเดินสำหรับเด็ก2in1สีฟ้า P1"/>
    <n v="970"/>
    <n v="1"/>
    <n v="220"/>
    <n v="700.93"/>
    <n v="7.0000000000000007E-2"/>
    <n v="750"/>
    <b v="1"/>
    <n v="668.6"/>
    <n v="668.6"/>
    <n v="10220"/>
    <n v="10220"/>
  </r>
  <r>
    <s v="__export__.sale_order_line_237"/>
    <x v="68"/>
    <x v="5"/>
    <x v="2"/>
    <x v="0"/>
    <x v="21"/>
    <s v="[WK3026P1] รถหัดเดินสำหรับเด็ก2in1สีชมพู P1"/>
    <n v="970"/>
    <n v="1"/>
    <n v="220"/>
    <n v="700.93"/>
    <n v="7.0000000000000007E-2"/>
    <n v="750"/>
    <b v="1"/>
    <n v="668.6"/>
    <n v="668.6"/>
    <n v="10220"/>
    <n v="10220"/>
  </r>
  <r>
    <s v="__export__.sale_order_line_238"/>
    <x v="68"/>
    <x v="5"/>
    <x v="2"/>
    <x v="0"/>
    <x v="21"/>
    <s v="[SL5064P1] รถเข็นสำหรับเด็กMini2สีเขียว P1"/>
    <n v="970"/>
    <n v="1"/>
    <n v="110"/>
    <n v="803.74"/>
    <n v="7.0000000000000007E-2"/>
    <n v="860"/>
    <b v="1"/>
    <n v="668.6"/>
    <n v="668.6"/>
    <n v="10220"/>
    <n v="10220"/>
  </r>
  <r>
    <s v="__export__.sale_order_line_239"/>
    <x v="68"/>
    <x v="5"/>
    <x v="2"/>
    <x v="0"/>
    <x v="21"/>
    <s v="[SL5057P1] รถเข็นสำหรับเด็กMini2สีแดง P1"/>
    <n v="970"/>
    <n v="1"/>
    <n v="110"/>
    <n v="803.74"/>
    <n v="7.0000000000000007E-2"/>
    <n v="860"/>
    <b v="1"/>
    <n v="668.6"/>
    <n v="668.6"/>
    <n v="10220"/>
    <n v="10220"/>
  </r>
  <r>
    <s v="__export__.sale_order_line_240"/>
    <x v="68"/>
    <x v="5"/>
    <x v="2"/>
    <x v="0"/>
    <x v="21"/>
    <s v="[SL5077P1] รถเข็นสำหรับเด็กMaxiสีแดง P1"/>
    <n v="1390"/>
    <n v="1"/>
    <n v="190"/>
    <n v="1121.5"/>
    <n v="7.0000000000000007E-2"/>
    <n v="1200"/>
    <b v="1"/>
    <n v="668.6"/>
    <n v="668.6"/>
    <n v="10220"/>
    <n v="10220"/>
  </r>
  <r>
    <s v="__export__.sale_order_line_241"/>
    <x v="68"/>
    <x v="5"/>
    <x v="2"/>
    <x v="0"/>
    <x v="21"/>
    <s v="[SL5081P1] รถเข็นสำหรับเด็กMaxiสีฟ้า P1"/>
    <n v="1390"/>
    <n v="1"/>
    <n v="190"/>
    <n v="1121.5"/>
    <n v="7.0000000000000007E-2"/>
    <n v="1200"/>
    <b v="1"/>
    <n v="668.6"/>
    <n v="668.6"/>
    <n v="10220"/>
    <n v="10220"/>
  </r>
  <r>
    <s v="__export__.sale_order_line_242"/>
    <x v="68"/>
    <x v="5"/>
    <x v="2"/>
    <x v="0"/>
    <x v="21"/>
    <s v="[WK3121P1] รถหัดเดินสำหรับเด็ก Rock and Ruk สีฟ้า P1"/>
    <n v="1180"/>
    <n v="1"/>
    <n v="230"/>
    <n v="887.85"/>
    <n v="7.0000000000000007E-2"/>
    <n v="950"/>
    <b v="1"/>
    <n v="668.6"/>
    <n v="668.6"/>
    <n v="10220"/>
    <n v="10220"/>
  </r>
  <r>
    <s v="__export__.sale_order_line_243"/>
    <x v="68"/>
    <x v="5"/>
    <x v="2"/>
    <x v="0"/>
    <x v="21"/>
    <s v="[WK3136P1] รถหัดเดินสำหรับเด็ก Rock and Ruk สีชมพู P1"/>
    <n v="1180"/>
    <n v="1"/>
    <n v="230"/>
    <n v="887.85"/>
    <n v="7.0000000000000007E-2"/>
    <n v="950"/>
    <b v="1"/>
    <n v="668.6"/>
    <n v="668.6"/>
    <n v="10220"/>
    <n v="10220"/>
  </r>
  <r>
    <s v="__export__.sale_order_line_309"/>
    <x v="68"/>
    <x v="5"/>
    <x v="2"/>
    <x v="0"/>
    <x v="21"/>
    <s v="[FD12313536P12] ถ้วยหัดดื่มแขนจับ 2 Handle cup สีฟ้า-ส้ม-ชมพู Pack 12"/>
    <m/>
    <n v="2"/>
    <m/>
    <m/>
    <n v="7.0000000000000007E-2"/>
    <n v="0"/>
    <b v="1"/>
    <n v="668.6"/>
    <n v="668.6"/>
    <n v="10220"/>
    <n v="10220"/>
  </r>
  <r>
    <s v="__export__.sale_order_line_310"/>
    <x v="68"/>
    <x v="5"/>
    <x v="2"/>
    <x v="0"/>
    <x v="21"/>
    <s v="[FD12717476P72] กระติกน้ำแบบมีหลอดดูด Sport sipper cup สีฟ้า-เขียว-ชมพู Pack 12"/>
    <m/>
    <n v="2"/>
    <m/>
    <m/>
    <n v="7.0000000000000007E-2"/>
    <n v="0"/>
    <b v="1"/>
    <n v="668.6"/>
    <n v="668.6"/>
    <n v="10220"/>
    <n v="10220"/>
  </r>
  <r>
    <s v="__export__.sale_order_line_224"/>
    <x v="69"/>
    <x v="5"/>
    <x v="2"/>
    <x v="0"/>
    <x v="22"/>
    <s v="[RK1032P1] เปลโยกสำหรับเด็กBear สีน้ำตาล P1"/>
    <n v="1600"/>
    <n v="1"/>
    <n v="250"/>
    <n v="1261.68"/>
    <n v="7.0000000000000007E-2"/>
    <n v="1350"/>
    <b v="1"/>
    <n v="668.6"/>
    <n v="668.6"/>
    <n v="10220"/>
    <n v="10220"/>
  </r>
  <r>
    <s v="__export__.sale_order_line_225"/>
    <x v="69"/>
    <x v="5"/>
    <x v="2"/>
    <x v="0"/>
    <x v="22"/>
    <s v="[RK1041P1] เปลโยกสำหรับเด็กBearสีฟ้า P1"/>
    <n v="1600"/>
    <n v="1"/>
    <n v="250"/>
    <n v="1261.68"/>
    <n v="7.0000000000000007E-2"/>
    <n v="1350"/>
    <b v="1"/>
    <n v="668.6"/>
    <n v="668.6"/>
    <n v="10220"/>
    <n v="10220"/>
  </r>
  <r>
    <s v="__export__.sale_order_line_226"/>
    <x v="69"/>
    <x v="5"/>
    <x v="2"/>
    <x v="0"/>
    <x v="22"/>
    <s v="[WK3011P1] รถหัดเดินสำหรับเด็ก2in1สีฟ้า P1"/>
    <n v="970"/>
    <n v="1"/>
    <n v="220"/>
    <n v="700.93"/>
    <n v="7.0000000000000007E-2"/>
    <n v="750"/>
    <b v="1"/>
    <n v="668.6"/>
    <n v="668.6"/>
    <n v="10220"/>
    <n v="10220"/>
  </r>
  <r>
    <s v="__export__.sale_order_line_227"/>
    <x v="69"/>
    <x v="5"/>
    <x v="2"/>
    <x v="0"/>
    <x v="22"/>
    <s v="[WK3026P1] รถหัดเดินสำหรับเด็ก2in1สีชมพู P1"/>
    <n v="970"/>
    <n v="1"/>
    <n v="220"/>
    <n v="700.93"/>
    <n v="7.0000000000000007E-2"/>
    <n v="750"/>
    <b v="1"/>
    <n v="668.6"/>
    <n v="668.6"/>
    <n v="10220"/>
    <n v="10220"/>
  </r>
  <r>
    <s v="__export__.sale_order_line_228"/>
    <x v="69"/>
    <x v="5"/>
    <x v="2"/>
    <x v="0"/>
    <x v="22"/>
    <s v="[SL5064P1] รถเข็นสำหรับเด็กMini2สีเขียว P1"/>
    <n v="970"/>
    <n v="1"/>
    <n v="110"/>
    <n v="803.74"/>
    <n v="7.0000000000000007E-2"/>
    <n v="860"/>
    <b v="1"/>
    <n v="668.6"/>
    <n v="668.6"/>
    <n v="10220"/>
    <n v="10220"/>
  </r>
  <r>
    <s v="__export__.sale_order_line_229"/>
    <x v="69"/>
    <x v="5"/>
    <x v="2"/>
    <x v="0"/>
    <x v="22"/>
    <s v="[SL5057P1] รถเข็นสำหรับเด็กMini2สีแดง P1"/>
    <n v="970"/>
    <n v="1"/>
    <n v="110"/>
    <n v="803.74"/>
    <n v="7.0000000000000007E-2"/>
    <n v="860"/>
    <b v="1"/>
    <n v="668.6"/>
    <n v="668.6"/>
    <n v="10220"/>
    <n v="10220"/>
  </r>
  <r>
    <s v="__export__.sale_order_line_230"/>
    <x v="69"/>
    <x v="5"/>
    <x v="2"/>
    <x v="0"/>
    <x v="22"/>
    <s v="[SL5077P1] รถเข็นสำหรับเด็กMaxiสีแดง P1"/>
    <n v="1390"/>
    <n v="1"/>
    <n v="190"/>
    <n v="1121.5"/>
    <n v="7.0000000000000007E-2"/>
    <n v="1200"/>
    <b v="1"/>
    <n v="668.6"/>
    <n v="668.6"/>
    <n v="10220"/>
    <n v="10220"/>
  </r>
  <r>
    <s v="__export__.sale_order_line_231"/>
    <x v="69"/>
    <x v="5"/>
    <x v="2"/>
    <x v="0"/>
    <x v="22"/>
    <s v="[SL5081P1] รถเข็นสำหรับเด็กMaxiสีฟ้า P1"/>
    <n v="1390"/>
    <n v="1"/>
    <n v="190"/>
    <n v="1121.5"/>
    <n v="7.0000000000000007E-2"/>
    <n v="1200"/>
    <b v="1"/>
    <n v="668.6"/>
    <n v="668.6"/>
    <n v="10220"/>
    <n v="10220"/>
  </r>
  <r>
    <s v="__export__.sale_order_line_232"/>
    <x v="69"/>
    <x v="5"/>
    <x v="2"/>
    <x v="0"/>
    <x v="22"/>
    <s v="[WK3121P1] รถหัดเดินสำหรับเด็ก Rock and Ruk สีฟ้า P1"/>
    <n v="1180"/>
    <n v="1"/>
    <n v="230"/>
    <n v="887.85"/>
    <n v="7.0000000000000007E-2"/>
    <n v="950"/>
    <b v="1"/>
    <n v="668.6"/>
    <n v="668.6"/>
    <n v="10220"/>
    <n v="10220"/>
  </r>
  <r>
    <s v="__export__.sale_order_line_233"/>
    <x v="69"/>
    <x v="5"/>
    <x v="2"/>
    <x v="0"/>
    <x v="22"/>
    <s v="[WK3136P1] รถหัดเดินสำหรับเด็ก Rock and Ruk สีชมพู P1"/>
    <n v="1180"/>
    <n v="1"/>
    <n v="230"/>
    <n v="887.85"/>
    <n v="7.0000000000000007E-2"/>
    <n v="950"/>
    <b v="1"/>
    <n v="668.6"/>
    <n v="668.6"/>
    <n v="10220"/>
    <n v="10220"/>
  </r>
  <r>
    <s v="__export__.sale_order_line_307"/>
    <x v="69"/>
    <x v="5"/>
    <x v="2"/>
    <x v="0"/>
    <x v="22"/>
    <s v="[FD12313536P12] ถ้วยหัดดื่มแขนจับ 2 Handle cup สีฟ้า-ส้ม-ชมพู Pack 12"/>
    <m/>
    <n v="2"/>
    <m/>
    <m/>
    <n v="7.0000000000000007E-2"/>
    <n v="0"/>
    <b v="1"/>
    <n v="668.6"/>
    <n v="668.6"/>
    <n v="10220"/>
    <n v="10220"/>
  </r>
  <r>
    <s v="__export__.sale_order_line_308"/>
    <x v="69"/>
    <x v="5"/>
    <x v="2"/>
    <x v="0"/>
    <x v="22"/>
    <s v="[FD12717476P72] กระติกน้ำแบบมีหลอดดูด Sport sipper cup สีฟ้า-เขียว-ชมพู Pack 12"/>
    <m/>
    <n v="2"/>
    <m/>
    <m/>
    <n v="7.0000000000000007E-2"/>
    <n v="0"/>
    <b v="1"/>
    <n v="668.6"/>
    <n v="668.6"/>
    <n v="10220"/>
    <n v="10220"/>
  </r>
  <r>
    <s v="__export__.sale_order_line_222"/>
    <x v="70"/>
    <x v="5"/>
    <x v="2"/>
    <x v="0"/>
    <x v="57"/>
    <s v="[RK1124P1] เปลโยกสำหรับเด็กBear สีน้ำตาลมีมิวสิค P1"/>
    <n v="1810"/>
    <n v="1"/>
    <n v="1810"/>
    <m/>
    <n v="7.0000000000000007E-2"/>
    <n v="0"/>
    <b v="1"/>
    <m/>
    <m/>
    <m/>
    <m/>
  </r>
  <r>
    <s v="__export__.sale_order_line_223"/>
    <x v="70"/>
    <x v="5"/>
    <x v="2"/>
    <x v="0"/>
    <x v="57"/>
    <s v="[WK3011P1] รถหัดเดินสำหรับเด็ก2in1สีฟ้า P1"/>
    <n v="970"/>
    <n v="1"/>
    <n v="970"/>
    <m/>
    <n v="7.0000000000000007E-2"/>
    <n v="0"/>
    <b v="1"/>
    <m/>
    <m/>
    <m/>
    <m/>
  </r>
  <r>
    <s v="__export__.sale_order_line_221"/>
    <x v="71"/>
    <x v="6"/>
    <x v="1"/>
    <x v="0"/>
    <x v="58"/>
    <s v="[AP3012] ไมย์แคร์ แผ่นปิดดูดสิว เดย์ 12 "/>
    <n v="139"/>
    <n v="1416"/>
    <m/>
    <n v="183947.66"/>
    <n v="7.0000000000000007E-2"/>
    <n v="196824"/>
    <m/>
    <n v="12876.34"/>
    <n v="12876.34"/>
    <n v="196824"/>
    <n v="196824"/>
  </r>
  <r>
    <s v="__export__.sale_order_line_219"/>
    <x v="72"/>
    <x v="6"/>
    <x v="0"/>
    <x v="0"/>
    <x v="59"/>
    <s v="[AP3014] ไมย์แคร์ แผ่นปิดดูดสิว เดย์ 6"/>
    <n v="60"/>
    <n v="60"/>
    <n v="8.27"/>
    <n v="2900.69"/>
    <n v="7.0000000000000007E-2"/>
    <n v="3103.7"/>
    <m/>
    <n v="527.92999999999995"/>
    <n v="527.92999999999995"/>
    <n v="8069.72"/>
    <n v="8069.72"/>
  </r>
  <r>
    <s v="__export__.sale_order_line_220"/>
    <x v="72"/>
    <x v="6"/>
    <x v="0"/>
    <x v="0"/>
    <x v="59"/>
    <s v="[AP3114] ไมย์แคร์ แผ่นปิดดูดสิว ไนท์ 6"/>
    <n v="60"/>
    <n v="96"/>
    <n v="8.27"/>
    <n v="4641.1000000000004"/>
    <n v="7.0000000000000007E-2"/>
    <n v="4966"/>
    <m/>
    <n v="527.92999999999995"/>
    <n v="527.92999999999995"/>
    <n v="8069.72"/>
    <n v="8069.72"/>
  </r>
  <r>
    <s v="__export__.sale_order_line_216"/>
    <x v="73"/>
    <x v="6"/>
    <x v="2"/>
    <x v="0"/>
    <x v="60"/>
    <s v="[ABR1014P] แปรงล้างขวดนมและจุกนมสีชมพู ขายเป็นชิ้น"/>
    <n v="70"/>
    <n v="6"/>
    <n v="18"/>
    <n v="291.58999999999997"/>
    <n v="7.0000000000000007E-2"/>
    <n v="312"/>
    <b v="1"/>
    <n v="127.18"/>
    <n v="127.18"/>
    <n v="1944"/>
    <n v="1944"/>
  </r>
  <r>
    <s v="__export__.sale_order_line_217"/>
    <x v="73"/>
    <x v="6"/>
    <x v="2"/>
    <x v="0"/>
    <x v="60"/>
    <s v="[ABR1014B] แปรงล้างขวดนมและจุกนมสีฟ้า ขายเป็นชิ้น"/>
    <n v="70"/>
    <n v="6"/>
    <n v="18"/>
    <n v="291.58999999999997"/>
    <n v="7.0000000000000007E-2"/>
    <n v="312"/>
    <b v="1"/>
    <n v="127.18"/>
    <n v="127.18"/>
    <n v="1944"/>
    <n v="1944"/>
  </r>
  <r>
    <s v="__export__.sale_order_line_218"/>
    <x v="73"/>
    <x v="6"/>
    <x v="2"/>
    <x v="0"/>
    <x v="60"/>
    <s v="[MP9010W] ปั๊มนมก้านโยก สีขาว P1"/>
    <n v="390"/>
    <n v="6"/>
    <n v="170"/>
    <n v="1233.6400000000001"/>
    <n v="7.0000000000000007E-2"/>
    <n v="1320"/>
    <b v="1"/>
    <n v="127.18"/>
    <n v="127.18"/>
    <n v="1944"/>
    <n v="1944"/>
  </r>
  <r>
    <s v="__export__.sale_order_line_199"/>
    <x v="74"/>
    <x v="6"/>
    <x v="2"/>
    <x v="0"/>
    <x v="61"/>
    <s v="[SL5021P1] รถเข็นสำหรับเด็ก Miniสีฟ้า P1"/>
    <n v="900"/>
    <n v="2"/>
    <n v="110"/>
    <n v="1476.64"/>
    <n v="7.0000000000000007E-2"/>
    <n v="1580"/>
    <b v="1"/>
    <n v="2096.09"/>
    <n v="2096.09"/>
    <n v="32040"/>
    <n v="32040"/>
  </r>
  <r>
    <s v="__export__.sale_order_line_200"/>
    <x v="74"/>
    <x v="6"/>
    <x v="2"/>
    <x v="0"/>
    <x v="61"/>
    <s v="[SL5017P1] รถเข็นสำหรับเด็ก Miniสีแดง P1"/>
    <n v="900"/>
    <n v="2"/>
    <n v="110"/>
    <n v="1476.64"/>
    <n v="7.0000000000000007E-2"/>
    <n v="1580"/>
    <b v="1"/>
    <n v="2096.09"/>
    <n v="2096.09"/>
    <n v="32040"/>
    <n v="32040"/>
  </r>
  <r>
    <s v="__export__.sale_order_line_201"/>
    <x v="74"/>
    <x v="6"/>
    <x v="2"/>
    <x v="0"/>
    <x v="61"/>
    <s v="[SL5064P1] รถเข็นสำหรับเด็กMini2สีเขียว P1"/>
    <n v="970"/>
    <n v="2"/>
    <n v="110"/>
    <n v="1607.48"/>
    <n v="7.0000000000000007E-2"/>
    <n v="1720"/>
    <b v="1"/>
    <n v="2096.09"/>
    <n v="2096.09"/>
    <n v="32040"/>
    <n v="32040"/>
  </r>
  <r>
    <s v="__export__.sale_order_line_202"/>
    <x v="74"/>
    <x v="6"/>
    <x v="2"/>
    <x v="0"/>
    <x v="61"/>
    <s v="[SL5057P1] รถเข็นสำหรับเด็กMini2สีแดง P1"/>
    <n v="970"/>
    <n v="2"/>
    <n v="110"/>
    <n v="1607.48"/>
    <n v="7.0000000000000007E-2"/>
    <n v="1720"/>
    <b v="1"/>
    <n v="2096.09"/>
    <n v="2096.09"/>
    <n v="32040"/>
    <n v="32040"/>
  </r>
  <r>
    <s v="__export__.sale_order_line_203"/>
    <x v="74"/>
    <x v="6"/>
    <x v="2"/>
    <x v="0"/>
    <x v="61"/>
    <s v="[SL5054P1] รถเข็นสำหรับเด็กcompactสีเขียว P1"/>
    <n v="1180"/>
    <n v="2"/>
    <n v="210"/>
    <n v="1813.08"/>
    <n v="7.0000000000000007E-2"/>
    <n v="1940"/>
    <b v="1"/>
    <n v="2096.09"/>
    <n v="2096.09"/>
    <n v="32040"/>
    <n v="32040"/>
  </r>
  <r>
    <s v="__export__.sale_order_line_204"/>
    <x v="74"/>
    <x v="6"/>
    <x v="2"/>
    <x v="0"/>
    <x v="61"/>
    <s v="[SL5031P1] รถเข็นสำหรับเด็กcompactสีฟ้า P1"/>
    <n v="1180"/>
    <n v="2"/>
    <n v="210"/>
    <n v="1813.08"/>
    <n v="7.0000000000000007E-2"/>
    <n v="1940"/>
    <b v="1"/>
    <n v="2096.09"/>
    <n v="2096.09"/>
    <n v="32040"/>
    <n v="32040"/>
  </r>
  <r>
    <s v="__export__.sale_order_line_205"/>
    <x v="74"/>
    <x v="6"/>
    <x v="2"/>
    <x v="0"/>
    <x v="61"/>
    <s v="[SL5047P1] รถเข็นสำหรับเด็กcompactสีแดง P1"/>
    <n v="1180"/>
    <n v="2"/>
    <n v="210"/>
    <n v="1813.08"/>
    <n v="7.0000000000000007E-2"/>
    <n v="1940"/>
    <b v="1"/>
    <n v="2096.09"/>
    <n v="2096.09"/>
    <n v="32040"/>
    <n v="32040"/>
  </r>
  <r>
    <s v="__export__.sale_order_line_206"/>
    <x v="74"/>
    <x v="6"/>
    <x v="2"/>
    <x v="0"/>
    <x v="61"/>
    <s v="[SL5077P1] รถเข็นสำหรับเด็กMaxiสีแดง P1"/>
    <n v="1390"/>
    <n v="2"/>
    <n v="240"/>
    <n v="2149.5300000000002"/>
    <n v="7.0000000000000007E-2"/>
    <n v="2300"/>
    <b v="1"/>
    <n v="2096.09"/>
    <n v="2096.09"/>
    <n v="32040"/>
    <n v="32040"/>
  </r>
  <r>
    <s v="__export__.sale_order_line_207"/>
    <x v="74"/>
    <x v="6"/>
    <x v="2"/>
    <x v="0"/>
    <x v="61"/>
    <s v="[SL5081P1] รถเข็นสำหรับเด็กMaxiสีฟ้า P1"/>
    <n v="1390"/>
    <n v="2"/>
    <n v="240"/>
    <n v="2149.5300000000002"/>
    <n v="7.0000000000000007E-2"/>
    <n v="2300"/>
    <b v="1"/>
    <n v="2096.09"/>
    <n v="2096.09"/>
    <n v="32040"/>
    <n v="32040"/>
  </r>
  <r>
    <s v="__export__.sale_order_line_208"/>
    <x v="74"/>
    <x v="6"/>
    <x v="2"/>
    <x v="0"/>
    <x v="61"/>
    <s v="[WK3121P1] รถหัดเดินสำหรับเด็ก Rock and Ruk สีฟ้า P1"/>
    <n v="1180"/>
    <n v="2"/>
    <n v="230"/>
    <n v="1775.7"/>
    <n v="7.0000000000000007E-2"/>
    <n v="1900"/>
    <b v="1"/>
    <n v="2096.09"/>
    <n v="2096.09"/>
    <n v="32040"/>
    <n v="32040"/>
  </r>
  <r>
    <s v="__export__.sale_order_line_209"/>
    <x v="74"/>
    <x v="6"/>
    <x v="2"/>
    <x v="0"/>
    <x v="61"/>
    <s v="[WK3136P1] รถหัดเดินสำหรับเด็ก Rock and Ruk สีชมพู P1"/>
    <n v="1180"/>
    <n v="2"/>
    <n v="230"/>
    <n v="1775.7"/>
    <n v="7.0000000000000007E-2"/>
    <n v="1900"/>
    <b v="1"/>
    <n v="2096.09"/>
    <n v="2096.09"/>
    <n v="32040"/>
    <n v="32040"/>
  </r>
  <r>
    <s v="__export__.sale_order_line_210"/>
    <x v="74"/>
    <x v="6"/>
    <x v="2"/>
    <x v="0"/>
    <x v="61"/>
    <s v="[WK3011P1] รถหัดเดินสำหรับเด็ก2in1สีฟ้า P1"/>
    <n v="970"/>
    <n v="2"/>
    <n v="250"/>
    <n v="1345.79"/>
    <n v="7.0000000000000007E-2"/>
    <n v="1440"/>
    <b v="1"/>
    <n v="2096.09"/>
    <n v="2096.09"/>
    <n v="32040"/>
    <n v="32040"/>
  </r>
  <r>
    <s v="__export__.sale_order_line_211"/>
    <x v="74"/>
    <x v="6"/>
    <x v="2"/>
    <x v="0"/>
    <x v="61"/>
    <s v="[WK3026P1] รถหัดเดินสำหรับเด็ก2in1สีชมพู P1"/>
    <n v="970"/>
    <n v="2"/>
    <n v="250"/>
    <n v="1345.79"/>
    <n v="7.0000000000000007E-2"/>
    <n v="1440"/>
    <b v="1"/>
    <n v="2096.09"/>
    <n v="2096.09"/>
    <n v="32040"/>
    <n v="32040"/>
  </r>
  <r>
    <s v="__export__.sale_order_line_212"/>
    <x v="74"/>
    <x v="6"/>
    <x v="2"/>
    <x v="0"/>
    <x v="61"/>
    <s v="[WK3034P1] รถหัดเดินสำหรับเด็ก2in1สีเขียว P1"/>
    <n v="970"/>
    <n v="2"/>
    <n v="250"/>
    <n v="1345.79"/>
    <n v="7.0000000000000007E-2"/>
    <n v="1440"/>
    <b v="1"/>
    <n v="2096.09"/>
    <n v="2096.09"/>
    <n v="32040"/>
    <n v="32040"/>
  </r>
  <r>
    <s v="__export__.sale_order_line_213"/>
    <x v="74"/>
    <x v="6"/>
    <x v="2"/>
    <x v="0"/>
    <x v="61"/>
    <s v="[RK1017P1] เปลโยกสำหรับเด็กMusicสีฟ้า P1"/>
    <n v="1740"/>
    <n v="2"/>
    <n v="540"/>
    <n v="2242.9899999999998"/>
    <n v="7.0000000000000007E-2"/>
    <n v="2400"/>
    <b v="1"/>
    <n v="2096.09"/>
    <n v="2096.09"/>
    <n v="32040"/>
    <n v="32040"/>
  </r>
  <r>
    <s v="__export__.sale_order_line_214"/>
    <x v="74"/>
    <x v="6"/>
    <x v="2"/>
    <x v="0"/>
    <x v="61"/>
    <s v="[RK1024P1] เปลโยกสำหรับเด็กMusicสีเขียว P1"/>
    <n v="1740"/>
    <n v="2"/>
    <n v="540"/>
    <n v="2242.9899999999998"/>
    <n v="7.0000000000000007E-2"/>
    <n v="2400"/>
    <b v="1"/>
    <n v="2096.09"/>
    <n v="2096.09"/>
    <n v="32040"/>
    <n v="32040"/>
  </r>
  <r>
    <s v="__export__.sale_order_line_215"/>
    <x v="74"/>
    <x v="6"/>
    <x v="2"/>
    <x v="0"/>
    <x v="61"/>
    <s v="[RK1061P1] เปลโยกสำหรับเด็กToyสีฟ้า P1"/>
    <n v="1250"/>
    <n v="2"/>
    <n v="200"/>
    <n v="1962.62"/>
    <n v="7.0000000000000007E-2"/>
    <n v="2100"/>
    <b v="1"/>
    <n v="2096.09"/>
    <n v="2096.09"/>
    <n v="32040"/>
    <n v="32040"/>
  </r>
  <r>
    <s v="__export__.sale_order_line_184"/>
    <x v="75"/>
    <x v="6"/>
    <x v="0"/>
    <x v="0"/>
    <x v="62"/>
    <s v="[PP1107] เตียงนอนสำหรับเด็ก PlayPen"/>
    <n v="3840"/>
    <n v="2"/>
    <n v="940"/>
    <n v="5420.56"/>
    <n v="7.0000000000000007E-2"/>
    <n v="5800"/>
    <m/>
    <n v="2757.38"/>
    <n v="2757.38"/>
    <n v="42148"/>
    <n v="42148"/>
  </r>
  <r>
    <s v="__export__.sale_order_line_185"/>
    <x v="75"/>
    <x v="6"/>
    <x v="0"/>
    <x v="0"/>
    <x v="62"/>
    <s v="[SL5031P1] รถเข็นสำหรับเด็กcompactสีฟ้า P1"/>
    <n v="1180"/>
    <n v="3"/>
    <n v="380"/>
    <n v="2242.9899999999998"/>
    <n v="7.0000000000000007E-2"/>
    <n v="2400"/>
    <m/>
    <n v="2757.38"/>
    <n v="2757.38"/>
    <n v="42148"/>
    <n v="42148"/>
  </r>
  <r>
    <s v="__export__.sale_order_line_186"/>
    <x v="75"/>
    <x v="6"/>
    <x v="0"/>
    <x v="0"/>
    <x v="62"/>
    <s v="[SL5047P1] รถเข็นสำหรับเด็กcompactสีแดง P1"/>
    <n v="1180"/>
    <n v="3"/>
    <n v="380"/>
    <n v="2242.9899999999998"/>
    <n v="7.0000000000000007E-2"/>
    <n v="2400"/>
    <m/>
    <n v="2757.38"/>
    <n v="2757.38"/>
    <n v="42148"/>
    <n v="42148"/>
  </r>
  <r>
    <s v="__export__.sale_order_line_187"/>
    <x v="75"/>
    <x v="6"/>
    <x v="0"/>
    <x v="0"/>
    <x v="62"/>
    <s v="[BS7019] โต๊ะนั่งกินข้าวสำหรับเด็กสีขาว น้ำเงิน เขียว P1"/>
    <n v="900"/>
    <n v="6"/>
    <n v="300"/>
    <n v="3364.49"/>
    <n v="7.0000000000000007E-2"/>
    <n v="3600"/>
    <m/>
    <n v="2757.38"/>
    <n v="2757.38"/>
    <n v="42148"/>
    <n v="42148"/>
  </r>
  <r>
    <s v="__export__.sale_order_line_188"/>
    <x v="75"/>
    <x v="6"/>
    <x v="0"/>
    <x v="0"/>
    <x v="62"/>
    <s v="[EP90212BL] ปั๊มนมไฟฟ้า  สีฟ้า P1"/>
    <n v="1390"/>
    <n v="3"/>
    <n v="490"/>
    <n v="2523.36"/>
    <n v="7.0000000000000007E-2"/>
    <n v="2700"/>
    <m/>
    <n v="2757.38"/>
    <n v="2757.38"/>
    <n v="42148"/>
    <n v="42148"/>
  </r>
  <r>
    <s v="__export__.sale_order_line_189"/>
    <x v="75"/>
    <x v="6"/>
    <x v="0"/>
    <x v="0"/>
    <x v="62"/>
    <s v="[EP9024G] ปั๊มนมไฟฟ้า สีเขียว P1"/>
    <n v="1390"/>
    <n v="3"/>
    <n v="490"/>
    <n v="2523.36"/>
    <n v="7.0000000000000007E-2"/>
    <n v="2700"/>
    <m/>
    <n v="2757.38"/>
    <n v="2757.38"/>
    <n v="42148"/>
    <n v="42148"/>
  </r>
  <r>
    <s v="__export__.sale_order_line_190"/>
    <x v="75"/>
    <x v="6"/>
    <x v="0"/>
    <x v="0"/>
    <x v="62"/>
    <s v="[BT0239W] baby bathtub ที่รองนั่งกันลื่นสำหรับเด็ก สีขาว"/>
    <n v="220"/>
    <n v="12"/>
    <n v="60"/>
    <n v="1794.39"/>
    <n v="7.0000000000000007E-2"/>
    <n v="1920"/>
    <m/>
    <n v="2757.38"/>
    <n v="2757.38"/>
    <n v="42148"/>
    <n v="42148"/>
  </r>
  <r>
    <s v="__export__.sale_order_line_191"/>
    <x v="75"/>
    <x v="6"/>
    <x v="0"/>
    <x v="0"/>
    <x v="62"/>
    <s v="[ABR10021] MCแปรงล้างขวดนมแบบหมุนสีเขียวขายเป็นชิ้น"/>
    <n v="80"/>
    <n v="6"/>
    <n v="26"/>
    <n v="302.8"/>
    <n v="7.0000000000000007E-2"/>
    <n v="324"/>
    <m/>
    <n v="2757.38"/>
    <n v="2757.38"/>
    <n v="42148"/>
    <n v="42148"/>
  </r>
  <r>
    <s v="__export__.sale_order_line_192"/>
    <x v="75"/>
    <x v="6"/>
    <x v="0"/>
    <x v="0"/>
    <x v="62"/>
    <s v="[ABR10014] MCแปรงล้างขวดนมแบบหมุนสีฟ้าขายเป็นชิ้น"/>
    <n v="80"/>
    <n v="6"/>
    <n v="26"/>
    <n v="302.8"/>
    <n v="7.0000000000000007E-2"/>
    <n v="324"/>
    <m/>
    <n v="2757.38"/>
    <n v="2757.38"/>
    <n v="42148"/>
    <n v="42148"/>
  </r>
  <r>
    <s v="__export__.sale_order_line_193"/>
    <x v="75"/>
    <x v="6"/>
    <x v="0"/>
    <x v="0"/>
    <x v="62"/>
    <s v="[RK1041P1] เปลโยกสำหรับเด็กBearสีฟ้า P1"/>
    <n v="1600"/>
    <n v="4"/>
    <n v="200"/>
    <n v="5233.6400000000003"/>
    <n v="7.0000000000000007E-2"/>
    <n v="5600"/>
    <m/>
    <n v="2757.38"/>
    <n v="2757.38"/>
    <n v="42148"/>
    <n v="42148"/>
  </r>
  <r>
    <s v="__export__.sale_order_line_194"/>
    <x v="75"/>
    <x v="6"/>
    <x v="0"/>
    <x v="0"/>
    <x v="62"/>
    <s v="[RK1032P1] เปลโยกสำหรับเด็กBear สีน้ำตาล P1"/>
    <n v="1600"/>
    <n v="2"/>
    <n v="200"/>
    <n v="2616.8200000000002"/>
    <n v="7.0000000000000007E-2"/>
    <n v="2800"/>
    <m/>
    <n v="2757.38"/>
    <n v="2757.38"/>
    <n v="42148"/>
    <n v="42148"/>
  </r>
  <r>
    <s v="__export__.sale_order_line_196"/>
    <x v="75"/>
    <x v="6"/>
    <x v="0"/>
    <x v="0"/>
    <x v="62"/>
    <s v="[RK1124P1] เปลโยกสำหรับเด็กBear สีน้ำตาลมีมิวสิค P1"/>
    <n v="1810"/>
    <n v="2"/>
    <n v="220"/>
    <n v="2971.96"/>
    <n v="7.0000000000000007E-2"/>
    <n v="3180"/>
    <m/>
    <n v="2757.38"/>
    <n v="2757.38"/>
    <n v="42148"/>
    <n v="42148"/>
  </r>
  <r>
    <s v="__export__.sale_order_line_197"/>
    <x v="75"/>
    <x v="6"/>
    <x v="0"/>
    <x v="0"/>
    <x v="62"/>
    <s v="[RK1056P1] เปลโยกสำหรับเด็กToyสีชมพู P1"/>
    <n v="1250"/>
    <n v="4"/>
    <n v="200"/>
    <n v="3925.23"/>
    <n v="7.0000000000000007E-2"/>
    <n v="4200"/>
    <m/>
    <n v="2757.38"/>
    <n v="2757.38"/>
    <n v="42148"/>
    <n v="42148"/>
  </r>
  <r>
    <s v="__export__.sale_order_line_198"/>
    <x v="75"/>
    <x v="6"/>
    <x v="0"/>
    <x v="0"/>
    <x v="62"/>
    <s v="[RK1061P1] เปลโยกสำหรับเด็กToyสีฟ้า P1"/>
    <n v="1250"/>
    <n v="4"/>
    <n v="200"/>
    <n v="3925.23"/>
    <n v="7.0000000000000007E-2"/>
    <n v="4200"/>
    <m/>
    <n v="2757.38"/>
    <n v="2757.38"/>
    <n v="42148"/>
    <n v="42148"/>
  </r>
  <r>
    <s v="__export__.sale_order_line_166"/>
    <x v="76"/>
    <x v="6"/>
    <x v="2"/>
    <x v="0"/>
    <x v="63"/>
    <s v="[PT0827] Baby Potty กระโถนเครื่องบิน สีแดง"/>
    <n v="460"/>
    <n v="2"/>
    <n v="140"/>
    <n v="598.13"/>
    <n v="7.0000000000000007E-2"/>
    <n v="640"/>
    <b v="1"/>
    <n v="1374.49"/>
    <n v="1374.49"/>
    <n v="21010"/>
    <n v="21010"/>
  </r>
  <r>
    <s v="__export__.sale_order_line_167"/>
    <x v="76"/>
    <x v="6"/>
    <x v="2"/>
    <x v="0"/>
    <x v="63"/>
    <s v="[PT0824] Baby Potty กระโถนเครื่องบิน สีเขียว"/>
    <n v="460"/>
    <n v="2"/>
    <n v="140"/>
    <n v="598.13"/>
    <n v="7.0000000000000007E-2"/>
    <n v="640"/>
    <b v="1"/>
    <n v="1374.49"/>
    <n v="1374.49"/>
    <n v="21010"/>
    <n v="21010"/>
  </r>
  <r>
    <s v="__export__.sale_order_line_168"/>
    <x v="76"/>
    <x v="6"/>
    <x v="2"/>
    <x v="0"/>
    <x v="63"/>
    <s v="[PT0821] Baby Potty กระโถนเครื่องบิน สีฟ้า"/>
    <n v="460"/>
    <n v="2"/>
    <n v="140"/>
    <n v="598.13"/>
    <n v="7.0000000000000007E-2"/>
    <n v="640"/>
    <b v="1"/>
    <n v="1374.49"/>
    <n v="1374.49"/>
    <n v="21010"/>
    <n v="21010"/>
  </r>
  <r>
    <s v="__export__.sale_order_line_169"/>
    <x v="76"/>
    <x v="6"/>
    <x v="2"/>
    <x v="0"/>
    <x v="63"/>
    <s v="[RK1032P1] เปลโยกสำหรับเด็กBear สีน้ำตาล P1"/>
    <n v="1600"/>
    <n v="3"/>
    <n v="250"/>
    <n v="3785.05"/>
    <n v="7.0000000000000007E-2"/>
    <n v="4050"/>
    <b v="1"/>
    <n v="1374.49"/>
    <n v="1374.49"/>
    <n v="21010"/>
    <n v="21010"/>
  </r>
  <r>
    <s v="__export__.sale_order_line_170"/>
    <x v="76"/>
    <x v="6"/>
    <x v="2"/>
    <x v="0"/>
    <x v="63"/>
    <s v="[RK1041P1] เปลโยกสำหรับเด็กBearสีฟ้า P1"/>
    <n v="1600"/>
    <n v="1"/>
    <n v="250"/>
    <n v="1261.68"/>
    <n v="7.0000000000000007E-2"/>
    <n v="1350"/>
    <b v="1"/>
    <n v="1374.49"/>
    <n v="1374.49"/>
    <n v="21010"/>
    <n v="21010"/>
  </r>
  <r>
    <s v="__export__.sale_order_line_171"/>
    <x v="76"/>
    <x v="6"/>
    <x v="2"/>
    <x v="0"/>
    <x v="63"/>
    <s v="[WK3046P1] รถหัดเดินสำหรับเด็กFishสีชมพู P1"/>
    <n v="690"/>
    <n v="3"/>
    <n v="80"/>
    <n v="1710.28"/>
    <n v="7.0000000000000007E-2"/>
    <n v="1830"/>
    <b v="1"/>
    <n v="1374.49"/>
    <n v="1374.49"/>
    <n v="21010"/>
    <n v="21010"/>
  </r>
  <r>
    <s v="__export__.sale_order_line_172"/>
    <x v="76"/>
    <x v="6"/>
    <x v="2"/>
    <x v="0"/>
    <x v="63"/>
    <s v="[WK3051P1] รถหัดเดินสำหรับเด็กFishสีฟ้า P1"/>
    <n v="690"/>
    <n v="3"/>
    <n v="80"/>
    <n v="1710.28"/>
    <n v="7.0000000000000007E-2"/>
    <n v="1830"/>
    <b v="1"/>
    <n v="1374.49"/>
    <n v="1374.49"/>
    <n v="21010"/>
    <n v="21010"/>
  </r>
  <r>
    <s v="__export__.sale_order_line_173"/>
    <x v="76"/>
    <x v="6"/>
    <x v="2"/>
    <x v="0"/>
    <x v="63"/>
    <s v="[BT0239W] baby bathtub ที่รองนั่งกันลื่นสำหรับเด็ก สีขาว"/>
    <n v="220"/>
    <n v="6"/>
    <n v="60"/>
    <n v="897.2"/>
    <n v="7.0000000000000007E-2"/>
    <n v="960"/>
    <b v="1"/>
    <n v="1374.49"/>
    <n v="1374.49"/>
    <n v="21010"/>
    <n v="21010"/>
  </r>
  <r>
    <s v="__export__.sale_order_line_174"/>
    <x v="76"/>
    <x v="6"/>
    <x v="2"/>
    <x v="0"/>
    <x v="63"/>
    <s v="[SL5054P1] รถเข็นสำหรับเด็กcompactสีเขียว P1"/>
    <n v="1180"/>
    <n v="1"/>
    <n v="210"/>
    <n v="906.54"/>
    <n v="7.0000000000000007E-2"/>
    <n v="970"/>
    <b v="1"/>
    <n v="1374.49"/>
    <n v="1374.49"/>
    <n v="21010"/>
    <n v="21010"/>
  </r>
  <r>
    <s v="__export__.sale_order_line_175"/>
    <x v="76"/>
    <x v="6"/>
    <x v="2"/>
    <x v="0"/>
    <x v="63"/>
    <s v="[SL5047P1] รถเข็นสำหรับเด็กcompactสีแดง P1"/>
    <n v="1180"/>
    <n v="1"/>
    <n v="210"/>
    <n v="906.54"/>
    <n v="7.0000000000000007E-2"/>
    <n v="970"/>
    <b v="1"/>
    <n v="1374.49"/>
    <n v="1374.49"/>
    <n v="21010"/>
    <n v="21010"/>
  </r>
  <r>
    <s v="__export__.sale_order_line_176"/>
    <x v="76"/>
    <x v="6"/>
    <x v="2"/>
    <x v="0"/>
    <x v="63"/>
    <s v="[BT2021P1] อ่างอาบน้ำสำหรับเด็กยกระดับสีฟ้า P1"/>
    <n v="340"/>
    <n v="3"/>
    <n v="100"/>
    <n v="672.9"/>
    <n v="7.0000000000000007E-2"/>
    <n v="720"/>
    <b v="1"/>
    <n v="1374.49"/>
    <n v="1374.49"/>
    <n v="21010"/>
    <n v="21010"/>
  </r>
  <r>
    <s v="__export__.sale_order_line_177"/>
    <x v="76"/>
    <x v="6"/>
    <x v="2"/>
    <x v="0"/>
    <x v="63"/>
    <s v="[BT2019P1] อ่างอาบน้ำสำหรับเด็กยกระดับสีขาว P1"/>
    <n v="340"/>
    <n v="3"/>
    <n v="100"/>
    <n v="672.9"/>
    <n v="7.0000000000000007E-2"/>
    <n v="720"/>
    <b v="1"/>
    <n v="1374.49"/>
    <n v="1374.49"/>
    <n v="21010"/>
    <n v="21010"/>
  </r>
  <r>
    <s v="__export__.sale_order_line_178"/>
    <x v="76"/>
    <x v="6"/>
    <x v="2"/>
    <x v="0"/>
    <x v="63"/>
    <s v="[EP90212BL] ปั๊มนมไฟฟ้า  สีฟ้า P1"/>
    <n v="1390"/>
    <n v="2"/>
    <n v="490"/>
    <n v="1682.24"/>
    <n v="7.0000000000000007E-2"/>
    <n v="1800"/>
    <b v="1"/>
    <n v="1374.49"/>
    <n v="1374.49"/>
    <n v="21010"/>
    <n v="21010"/>
  </r>
  <r>
    <s v="__export__.sale_order_line_179"/>
    <x v="76"/>
    <x v="6"/>
    <x v="2"/>
    <x v="0"/>
    <x v="63"/>
    <s v="[EP9024G] ปั๊มนมไฟฟ้า สีเขียว P1"/>
    <n v="1390"/>
    <n v="2"/>
    <n v="490"/>
    <n v="1682.24"/>
    <n v="7.0000000000000007E-2"/>
    <n v="1800"/>
    <b v="1"/>
    <n v="1374.49"/>
    <n v="1374.49"/>
    <n v="21010"/>
    <n v="21010"/>
  </r>
  <r>
    <s v="__export__.sale_order_line_180"/>
    <x v="76"/>
    <x v="6"/>
    <x v="2"/>
    <x v="0"/>
    <x v="63"/>
    <s v="[BT0221B] baby bathtub อ่างอาบน้ำเด็กขนาดเล็ก สีฟ้า"/>
    <n v="460"/>
    <n v="4"/>
    <n v="100"/>
    <n v="1345.79"/>
    <n v="7.0000000000000007E-2"/>
    <n v="1440"/>
    <b v="1"/>
    <n v="1374.49"/>
    <n v="1374.49"/>
    <n v="21010"/>
    <n v="21010"/>
  </r>
  <r>
    <s v="__export__.sale_order_line_181"/>
    <x v="76"/>
    <x v="6"/>
    <x v="2"/>
    <x v="0"/>
    <x v="63"/>
    <s v="[ABR10014] MCแปรงล้างขวดนมแบบหมุนสีฟ้าขายเป็นชิ้น"/>
    <n v="80"/>
    <n v="6"/>
    <n v="15"/>
    <n v="364.49"/>
    <n v="7.0000000000000007E-2"/>
    <n v="390"/>
    <b v="1"/>
    <n v="1374.49"/>
    <n v="1374.49"/>
    <n v="21010"/>
    <n v="21010"/>
  </r>
  <r>
    <s v="__export__.sale_order_line_182"/>
    <x v="76"/>
    <x v="6"/>
    <x v="2"/>
    <x v="0"/>
    <x v="63"/>
    <s v="[ABR10021] MCแปรงล้างขวดนมแบบหมุนสีเขียวขายเป็นชิ้น"/>
    <n v="80"/>
    <n v="4"/>
    <n v="15"/>
    <n v="242.99"/>
    <n v="7.0000000000000007E-2"/>
    <n v="260"/>
    <b v="1"/>
    <n v="1374.49"/>
    <n v="1374.49"/>
    <n v="21010"/>
    <n v="21010"/>
  </r>
  <r>
    <s v="__export__.sale_order_line_183"/>
    <x v="76"/>
    <x v="6"/>
    <x v="2"/>
    <x v="0"/>
    <x v="63"/>
    <s v="[ABR10021] MCแปรงล้างขวดนมแบบหมุนสีเขียวขายเป็นชิ้น"/>
    <n v="80"/>
    <n v="2"/>
    <n v="80"/>
    <m/>
    <n v="7.0000000000000007E-2"/>
    <n v="0"/>
    <b v="1"/>
    <n v="1374.49"/>
    <n v="1374.49"/>
    <n v="21010"/>
    <n v="21010"/>
  </r>
  <r>
    <s v="__export__.sale_order_line_162"/>
    <x v="77"/>
    <x v="6"/>
    <x v="2"/>
    <x v="7"/>
    <x v="64"/>
    <s v="[MP9010W] ปั๊มนมก้านโยก สีขาว P1"/>
    <n v="390"/>
    <n v="5"/>
    <n v="170"/>
    <n v="1028.04"/>
    <n v="7.0000000000000007E-2"/>
    <n v="1100"/>
    <b v="1"/>
    <n v="392.19"/>
    <n v="392.19"/>
    <n v="5995.14"/>
    <n v="5995.14"/>
  </r>
  <r>
    <s v="__export__.sale_order_line_163"/>
    <x v="77"/>
    <x v="6"/>
    <x v="2"/>
    <x v="7"/>
    <x v="64"/>
    <s v="[SZ4061P1] เครื่องนึ่งขวดนม StandTeflonสีฟ้า P1"/>
    <n v="830"/>
    <n v="3"/>
    <n v="240"/>
    <n v="1654.21"/>
    <n v="7.0000000000000007E-2"/>
    <n v="1770"/>
    <b v="1"/>
    <n v="392.19"/>
    <n v="392.19"/>
    <n v="5995.14"/>
    <n v="5995.14"/>
  </r>
  <r>
    <s v="__export__.sale_order_line_164"/>
    <x v="77"/>
    <x v="6"/>
    <x v="2"/>
    <x v="7"/>
    <x v="64"/>
    <s v="[SZ4054P1] เครื่องนึ่งขวดนม StandTeflonสีเขียว P1"/>
    <n v="830"/>
    <n v="3"/>
    <n v="240"/>
    <n v="1654.21"/>
    <n v="7.0000000000000007E-2"/>
    <n v="1770"/>
    <b v="1"/>
    <n v="392.19"/>
    <n v="392.19"/>
    <n v="5995.14"/>
    <n v="5995.14"/>
  </r>
  <r>
    <s v="__export__.sale_order_line_165"/>
    <x v="77"/>
    <x v="6"/>
    <x v="2"/>
    <x v="7"/>
    <x v="64"/>
    <s v="[SZ4034P1] เครื่องนึ่งขวดนมDyerTeflonสีฟ้า P1"/>
    <n v="1950"/>
    <n v="1"/>
    <n v="594.86"/>
    <n v="1266.49"/>
    <n v="7.0000000000000007E-2"/>
    <n v="1355.1"/>
    <b v="1"/>
    <n v="392.19"/>
    <n v="392.19"/>
    <n v="5995.14"/>
    <n v="5995.14"/>
  </r>
  <r>
    <s v="__export__.sale_order_line_160"/>
    <x v="78"/>
    <x v="6"/>
    <x v="0"/>
    <x v="0"/>
    <x v="31"/>
    <s v="[AP3012] ไมย์แคร์ แผ่นปิดดูดสิว เดย์ 12 "/>
    <n v="982.09"/>
    <n v="35"/>
    <m/>
    <n v="32124.44"/>
    <n v="7.0000000000000007E-2"/>
    <n v="34373.199999999997"/>
    <m/>
    <n v="7794.95"/>
    <n v="7794.95"/>
    <n v="119151.41"/>
    <n v="119151.41"/>
  </r>
  <r>
    <s v="__export__.sale_order_line_161"/>
    <x v="78"/>
    <x v="6"/>
    <x v="0"/>
    <x v="0"/>
    <x v="31"/>
    <s v="[AP3112] ไมย์แคร์ แผ่นปิดดูดสิว ไนท์ 12"/>
    <n v="1194.06"/>
    <n v="71"/>
    <m/>
    <n v="79232.02"/>
    <n v="7.0000000000000007E-2"/>
    <n v="84778.3"/>
    <m/>
    <n v="7794.95"/>
    <n v="7794.95"/>
    <n v="119151.41"/>
    <n v="119151.41"/>
  </r>
  <r>
    <s v="__export__.sale_order_line_155"/>
    <x v="79"/>
    <x v="7"/>
    <x v="1"/>
    <x v="3"/>
    <x v="23"/>
    <s v="[SZ405461P2] เครื่องนึ่งขวดนมStandTeflonสีฟ้า สีเขียวP2"/>
    <n v="1671.02"/>
    <n v="1"/>
    <m/>
    <n v="1561.7"/>
    <n v="7.0000000000000007E-2"/>
    <n v="1671"/>
    <m/>
    <n v="229.47"/>
    <n v="229.47"/>
    <n v="3507.46"/>
    <n v="3507.46"/>
  </r>
  <r>
    <s v="__export__.sale_order_line_156"/>
    <x v="79"/>
    <x v="7"/>
    <x v="1"/>
    <x v="3"/>
    <x v="23"/>
    <s v="[ABR1014P12] แปรงล้างขวดนมและจุกนมสีฟ้า สีชมพู ขายเป็นโหล"/>
    <n v="643.91999999999996"/>
    <n v="1"/>
    <m/>
    <n v="601.79"/>
    <n v="7.0000000000000007E-2"/>
    <n v="643.9"/>
    <m/>
    <n v="229.47"/>
    <n v="229.47"/>
    <n v="3507.46"/>
    <n v="3507.46"/>
  </r>
  <r>
    <s v="__export__.sale_order_line_158"/>
    <x v="79"/>
    <x v="7"/>
    <x v="1"/>
    <x v="3"/>
    <x v="23"/>
    <s v="[MP9010W] ปั๊มนมก้านโยก สีขาว P1"/>
    <n v="298.13"/>
    <n v="4"/>
    <m/>
    <n v="1114.5"/>
    <n v="7.0000000000000007E-2"/>
    <n v="1192.5"/>
    <m/>
    <n v="229.47"/>
    <n v="229.47"/>
    <n v="3507.46"/>
    <n v="3507.46"/>
  </r>
  <r>
    <s v="__export__.sale_order_line_153"/>
    <x v="80"/>
    <x v="8"/>
    <x v="2"/>
    <x v="0"/>
    <x v="65"/>
    <s v="[SZ4054P1] เครื่องนึ่งขวดนม StandTeflonสีเขียว P1"/>
    <n v="1390"/>
    <n v="1"/>
    <n v="1390"/>
    <m/>
    <n v="7.0000000000000007E-2"/>
    <n v="0"/>
    <b v="1"/>
    <m/>
    <m/>
    <m/>
    <m/>
  </r>
  <r>
    <s v="__export__.sale_order_line_151"/>
    <x v="81"/>
    <x v="8"/>
    <x v="2"/>
    <x v="0"/>
    <x v="66"/>
    <s v="[WK3046P1] รถหัดเดินสำหรับเด็กFishสีชมพู P1"/>
    <n v="690"/>
    <n v="1"/>
    <n v="690"/>
    <m/>
    <n v="7.0000000000000007E-2"/>
    <n v="0"/>
    <b v="1"/>
    <m/>
    <m/>
    <m/>
    <m/>
  </r>
  <r>
    <s v="__export__.sale_order_line_152"/>
    <x v="81"/>
    <x v="8"/>
    <x v="2"/>
    <x v="0"/>
    <x v="66"/>
    <s v="[FD1274P6] กระติกน้ำแบบมีหลอดดูด Sport sipper cup คละสี P6"/>
    <n v="70"/>
    <n v="2"/>
    <n v="70"/>
    <m/>
    <n v="7.0000000000000007E-2"/>
    <n v="0"/>
    <b v="1"/>
    <m/>
    <m/>
    <m/>
    <m/>
  </r>
  <r>
    <s v="__export__.sale_order_line_149"/>
    <x v="82"/>
    <x v="8"/>
    <x v="2"/>
    <x v="0"/>
    <x v="67"/>
    <s v="[FD1274P6] กระติกน้ำแบบมีหลอดดูด Sport sipper cup คละสี P6"/>
    <n v="70"/>
    <n v="1"/>
    <n v="70"/>
    <m/>
    <n v="7.0000000000000007E-2"/>
    <n v="0"/>
    <b v="1"/>
    <m/>
    <m/>
    <m/>
    <m/>
  </r>
  <r>
    <s v="__export__.sale_order_line_150"/>
    <x v="82"/>
    <x v="8"/>
    <x v="2"/>
    <x v="0"/>
    <x v="67"/>
    <s v="[MP9010W] ปั๊มนมก้านโยก สีขาว P1"/>
    <n v="410"/>
    <n v="1"/>
    <n v="410"/>
    <m/>
    <n v="7.0000000000000007E-2"/>
    <n v="0"/>
    <b v="1"/>
    <m/>
    <m/>
    <m/>
    <m/>
  </r>
  <r>
    <s v="__export__.sale_order_line_148"/>
    <x v="83"/>
    <x v="8"/>
    <x v="2"/>
    <x v="0"/>
    <x v="68"/>
    <s v="[BS7019] โต๊ะนั่งกินข้าวสำหรับเด็กสีขาว น้ำเงิน เขียว P1"/>
    <n v="1040"/>
    <n v="5"/>
    <n v="-0.19"/>
    <n v="4860.7"/>
    <n v="7.0000000000000007E-2"/>
    <n v="5200.8999999999996"/>
    <b v="1"/>
    <n v="340.25"/>
    <n v="340.25"/>
    <n v="5200.95"/>
    <n v="5200.95"/>
  </r>
  <r>
    <s v="__export__.sale_order_line_140"/>
    <x v="84"/>
    <x v="8"/>
    <x v="2"/>
    <x v="0"/>
    <x v="69"/>
    <s v="[WK3011P1] รถหัดเดินสำหรับเด็ก2in1สีฟ้า P1"/>
    <n v="970"/>
    <n v="2"/>
    <n v="220"/>
    <n v="1401.87"/>
    <n v="7.0000000000000007E-2"/>
    <n v="1500"/>
    <b v="1"/>
    <n v="1126.55"/>
    <n v="1126.55"/>
    <n v="17220"/>
    <n v="17220"/>
  </r>
  <r>
    <s v="__export__.sale_order_line_141"/>
    <x v="84"/>
    <x v="8"/>
    <x v="2"/>
    <x v="0"/>
    <x v="69"/>
    <s v="[WK3026P1] รถหัดเดินสำหรับเด็ก2in1สีชมพู P1"/>
    <n v="970"/>
    <n v="2"/>
    <n v="220"/>
    <n v="1401.87"/>
    <n v="7.0000000000000007E-2"/>
    <n v="1500"/>
    <b v="1"/>
    <n v="1126.55"/>
    <n v="1126.55"/>
    <n v="17220"/>
    <n v="17220"/>
  </r>
  <r>
    <s v="__export__.sale_order_line_142"/>
    <x v="84"/>
    <x v="8"/>
    <x v="2"/>
    <x v="0"/>
    <x v="69"/>
    <s v="[WK3034P1] รถหัดเดินสำหรับเด็ก2in1สีเขียว P1"/>
    <n v="970"/>
    <n v="2"/>
    <n v="220"/>
    <n v="1401.87"/>
    <n v="7.0000000000000007E-2"/>
    <n v="1500"/>
    <b v="1"/>
    <n v="1126.55"/>
    <n v="1126.55"/>
    <n v="17220"/>
    <n v="17220"/>
  </r>
  <r>
    <s v="__export__.sale_order_line_143"/>
    <x v="84"/>
    <x v="8"/>
    <x v="2"/>
    <x v="0"/>
    <x v="69"/>
    <s v="[SL5031P1] รถเข็นสำหรับเด็กcompactสีฟ้า P1"/>
    <n v="1320"/>
    <n v="2"/>
    <n v="350"/>
    <n v="1813.08"/>
    <n v="7.0000000000000007E-2"/>
    <n v="1940"/>
    <b v="1"/>
    <n v="1126.55"/>
    <n v="1126.55"/>
    <n v="17220"/>
    <n v="17220"/>
  </r>
  <r>
    <s v="__export__.sale_order_line_144"/>
    <x v="84"/>
    <x v="8"/>
    <x v="2"/>
    <x v="0"/>
    <x v="69"/>
    <s v="[SL5047P1] รถเข็นสำหรับเด็กcompactสีแดง P1"/>
    <n v="1320"/>
    <n v="2"/>
    <n v="350"/>
    <n v="1813.08"/>
    <n v="7.0000000000000007E-2"/>
    <n v="1940"/>
    <b v="1"/>
    <n v="1126.55"/>
    <n v="1126.55"/>
    <n v="17220"/>
    <n v="17220"/>
  </r>
  <r>
    <s v="__export__.sale_order_line_145"/>
    <x v="84"/>
    <x v="8"/>
    <x v="2"/>
    <x v="0"/>
    <x v="69"/>
    <s v="[SL5054P1] รถเข็นสำหรับเด็กcompactสีเขียว P1"/>
    <n v="1320"/>
    <n v="2"/>
    <n v="350"/>
    <n v="1813.08"/>
    <n v="7.0000000000000007E-2"/>
    <n v="1940"/>
    <b v="1"/>
    <n v="1126.55"/>
    <n v="1126.55"/>
    <n v="17220"/>
    <n v="17220"/>
  </r>
  <r>
    <s v="__export__.sale_order_line_146"/>
    <x v="84"/>
    <x v="8"/>
    <x v="2"/>
    <x v="0"/>
    <x v="69"/>
    <s v="[SL5077P1] รถเข็นสำหรับเด็กMaxiสีแดง P1"/>
    <n v="1390"/>
    <n v="3"/>
    <n v="240"/>
    <n v="3224.3"/>
    <n v="7.0000000000000007E-2"/>
    <n v="3450"/>
    <b v="1"/>
    <n v="1126.55"/>
    <n v="1126.55"/>
    <n v="17220"/>
    <n v="17220"/>
  </r>
  <r>
    <s v="__export__.sale_order_line_147"/>
    <x v="84"/>
    <x v="8"/>
    <x v="2"/>
    <x v="0"/>
    <x v="69"/>
    <s v="[SL5081P1] รถเข็นสำหรับเด็กMaxiสีฟ้า P1"/>
    <n v="1390"/>
    <n v="3"/>
    <n v="240"/>
    <n v="3224.3"/>
    <n v="7.0000000000000007E-2"/>
    <n v="3450"/>
    <b v="1"/>
    <n v="1126.55"/>
    <n v="1126.55"/>
    <n v="17220"/>
    <n v="17220"/>
  </r>
  <r>
    <s v="__export__.sale_order_line_136"/>
    <x v="85"/>
    <x v="8"/>
    <x v="2"/>
    <x v="2"/>
    <x v="70"/>
    <s v="[BT2031P1] อ่างอาบน้ำสำหรับเด็กขอบจับสีฟ้า P1"/>
    <n v="320"/>
    <n v="3"/>
    <n v="95"/>
    <n v="630.84"/>
    <n v="7.0000000000000007E-2"/>
    <n v="675"/>
    <b v="1"/>
    <n v="1108.8800000000001"/>
    <n v="1108.8800000000001"/>
    <n v="16950"/>
    <n v="16950"/>
  </r>
  <r>
    <s v="__export__.sale_order_line_137"/>
    <x v="85"/>
    <x v="8"/>
    <x v="2"/>
    <x v="2"/>
    <x v="70"/>
    <s v="[BT2046P1] อ่างอาบน้ำสำหรับเด็กขอบจับสีชมพู P1"/>
    <n v="320"/>
    <n v="3"/>
    <n v="95"/>
    <n v="630.84"/>
    <n v="7.0000000000000007E-2"/>
    <n v="675"/>
    <b v="1"/>
    <n v="1108.8800000000001"/>
    <n v="1108.8800000000001"/>
    <n v="16950"/>
    <n v="16950"/>
  </r>
  <r>
    <s v="__export__.sale_order_line_138"/>
    <x v="85"/>
    <x v="8"/>
    <x v="2"/>
    <x v="2"/>
    <x v="70"/>
    <s v="[SZ4041P1] เครื่องนึ่งขวดนมDyerTeflonสีเขียว P1"/>
    <n v="1950"/>
    <n v="6"/>
    <n v="650"/>
    <n v="7289.72"/>
    <n v="7.0000000000000007E-2"/>
    <n v="7800"/>
    <b v="1"/>
    <n v="1108.8800000000001"/>
    <n v="1108.8800000000001"/>
    <n v="16950"/>
    <n v="16950"/>
  </r>
  <r>
    <s v="__export__.sale_order_line_139"/>
    <x v="85"/>
    <x v="8"/>
    <x v="2"/>
    <x v="2"/>
    <x v="70"/>
    <s v="[SZ4034P1] เครื่องนึ่งขวดนมDyerTeflonสีฟ้า P1"/>
    <n v="1950"/>
    <n v="6"/>
    <n v="650"/>
    <n v="7289.72"/>
    <n v="7.0000000000000007E-2"/>
    <n v="7800"/>
    <b v="1"/>
    <n v="1108.8800000000001"/>
    <n v="1108.8800000000001"/>
    <n v="16950"/>
    <n v="16950"/>
  </r>
  <r>
    <s v="__export__.sale_order_line_135"/>
    <x v="86"/>
    <x v="8"/>
    <x v="2"/>
    <x v="0"/>
    <x v="55"/>
    <s v="[SL5064P1] รถเข็นสำหรับเด็กMini2สีเขียว P1"/>
    <n v="1390"/>
    <n v="12"/>
    <n v="320"/>
    <n v="11361.32"/>
    <n v="7.0000000000000007E-2"/>
    <n v="12156.6"/>
    <b v="1"/>
    <n v="795.29"/>
    <n v="795.29"/>
    <n v="12156.61"/>
    <n v="12156.61"/>
  </r>
  <r>
    <s v="__export__.sale_order_line_134"/>
    <x v="87"/>
    <x v="8"/>
    <x v="2"/>
    <x v="0"/>
    <x v="71"/>
    <s v="[SL5057P1] รถเข็นสำหรับเด็กMini2สีแดง P1"/>
    <n v="1690"/>
    <n v="1"/>
    <n v="290"/>
    <n v="1308.4100000000001"/>
    <n v="7.0000000000000007E-2"/>
    <n v="1400"/>
    <b v="1"/>
    <n v="91.59"/>
    <n v="91.59"/>
    <n v="1400"/>
    <n v="1400"/>
  </r>
  <r>
    <s v="__export__.sale_order_line_121"/>
    <x v="88"/>
    <x v="8"/>
    <x v="2"/>
    <x v="0"/>
    <x v="72"/>
    <s v="[BT2046P1] อ่างอาบน้ำสำหรับเด็กขอบจับสีชมพู P1"/>
    <n v="450"/>
    <n v="3"/>
    <n v="195"/>
    <n v="714.95"/>
    <n v="7.0000000000000007E-2"/>
    <n v="765"/>
    <b v="1"/>
    <n v="688.89"/>
    <n v="688.89"/>
    <n v="10530"/>
    <n v="10530"/>
  </r>
  <r>
    <s v="__export__.sale_order_line_122"/>
    <x v="88"/>
    <x v="8"/>
    <x v="2"/>
    <x v="0"/>
    <x v="72"/>
    <s v="[BT2031P1] อ่างอาบน้ำสำหรับเด็กขอบจับสีฟ้า P1"/>
    <n v="450"/>
    <n v="3"/>
    <n v="195"/>
    <n v="714.95"/>
    <n v="7.0000000000000007E-2"/>
    <n v="765"/>
    <b v="1"/>
    <n v="688.89"/>
    <n v="688.89"/>
    <n v="10530"/>
    <n v="10530"/>
  </r>
  <r>
    <s v="__export__.sale_order_line_123"/>
    <x v="88"/>
    <x v="8"/>
    <x v="2"/>
    <x v="0"/>
    <x v="72"/>
    <s v="[SL5057P1] รถเข็นสำหรับเด็กMini2สีแดง P1"/>
    <n v="1690"/>
    <n v="3"/>
    <n v="890"/>
    <n v="2242.9899999999998"/>
    <n v="7.0000000000000007E-2"/>
    <n v="2400"/>
    <b v="1"/>
    <n v="688.89"/>
    <n v="688.89"/>
    <n v="10530"/>
    <n v="10530"/>
  </r>
  <r>
    <s v="__export__.sale_order_line_124"/>
    <x v="88"/>
    <x v="8"/>
    <x v="2"/>
    <x v="0"/>
    <x v="72"/>
    <s v="[SL5064P1] รถเข็นสำหรับเด็กMini2สีเขียว P1"/>
    <n v="1690"/>
    <n v="3"/>
    <n v="890"/>
    <n v="2242.9899999999998"/>
    <n v="7.0000000000000007E-2"/>
    <n v="2400"/>
    <b v="1"/>
    <n v="688.89"/>
    <n v="688.89"/>
    <n v="10530"/>
    <n v="10530"/>
  </r>
  <r>
    <s v="__export__.sale_order_line_125"/>
    <x v="88"/>
    <x v="8"/>
    <x v="2"/>
    <x v="0"/>
    <x v="72"/>
    <s v="[RK1032P1] เปลโยกสำหรับเด็กBear สีน้ำตาล P1"/>
    <n v="2490"/>
    <n v="1"/>
    <n v="1090"/>
    <n v="1308.4100000000001"/>
    <n v="7.0000000000000007E-2"/>
    <n v="1400"/>
    <b v="1"/>
    <n v="688.89"/>
    <n v="688.89"/>
    <n v="10530"/>
    <n v="10530"/>
  </r>
  <r>
    <s v="__export__.sale_order_line_126"/>
    <x v="88"/>
    <x v="8"/>
    <x v="2"/>
    <x v="0"/>
    <x v="72"/>
    <s v="[RK1041P1] เปลโยกสำหรับเด็กBearสีฟ้า P1"/>
    <n v="2490"/>
    <n v="2"/>
    <n v="1090"/>
    <n v="2616.8200000000002"/>
    <n v="7.0000000000000007E-2"/>
    <n v="2800"/>
    <b v="1"/>
    <n v="688.89"/>
    <n v="688.89"/>
    <n v="10530"/>
    <n v="10530"/>
  </r>
  <r>
    <s v="__export__.sale_order_line_116"/>
    <x v="89"/>
    <x v="8"/>
    <x v="2"/>
    <x v="7"/>
    <x v="73"/>
    <s v="[SL5054P1] รถเข็นสำหรับเด็กcompactสีเขียว P1"/>
    <n v="970"/>
    <n v="2"/>
    <m/>
    <n v="1813.08"/>
    <n v="7.0000000000000007E-2"/>
    <n v="1940"/>
    <b v="1"/>
    <n v="421.32"/>
    <n v="421.32"/>
    <n v="6440"/>
    <n v="6440"/>
  </r>
  <r>
    <s v="__export__.sale_order_line_117"/>
    <x v="89"/>
    <x v="8"/>
    <x v="2"/>
    <x v="7"/>
    <x v="73"/>
    <s v="[SL5031P1] รถเข็นสำหรับเด็กcompactสีฟ้า P1"/>
    <n v="970"/>
    <n v="2"/>
    <m/>
    <n v="1813.08"/>
    <n v="7.0000000000000007E-2"/>
    <n v="1940"/>
    <b v="1"/>
    <n v="421.32"/>
    <n v="421.32"/>
    <n v="6440"/>
    <n v="6440"/>
  </r>
  <r>
    <s v="__export__.sale_order_line_118"/>
    <x v="89"/>
    <x v="8"/>
    <x v="2"/>
    <x v="7"/>
    <x v="73"/>
    <s v="[SL5047P1] รถเข็นสำหรับเด็กcompactสีแดง P1"/>
    <n v="970"/>
    <n v="2"/>
    <m/>
    <n v="1813.08"/>
    <n v="7.0000000000000007E-2"/>
    <n v="1940"/>
    <b v="1"/>
    <n v="421.32"/>
    <n v="421.32"/>
    <n v="6440"/>
    <n v="6440"/>
  </r>
  <r>
    <s v="__export__.sale_order_line_119"/>
    <x v="89"/>
    <x v="8"/>
    <x v="2"/>
    <x v="7"/>
    <x v="73"/>
    <s v="[FD1274P6] กระติกน้ำแบบมีหลอดดูด Sport sipper cup คละสี P6"/>
    <n v="372"/>
    <n v="2"/>
    <n v="62"/>
    <n v="579.44000000000005"/>
    <n v="7.0000000000000007E-2"/>
    <n v="620"/>
    <b v="1"/>
    <n v="421.32"/>
    <n v="421.32"/>
    <n v="6440"/>
    <n v="6440"/>
  </r>
  <r>
    <s v="__export__.sale_order_line_105"/>
    <x v="90"/>
    <x v="8"/>
    <x v="2"/>
    <x v="0"/>
    <x v="74"/>
    <s v="[SZ4061P1] เครื่องนึ่งขวดนม StandTeflonสีฟ้า P1"/>
    <n v="970"/>
    <n v="6"/>
    <n v="380"/>
    <n v="3308.41"/>
    <n v="7.0000000000000007E-2"/>
    <n v="3540"/>
    <b v="1"/>
    <n v="1503.36"/>
    <n v="1503.36"/>
    <n v="22980"/>
    <n v="22980"/>
  </r>
  <r>
    <s v="__export__.sale_order_line_106"/>
    <x v="90"/>
    <x v="8"/>
    <x v="2"/>
    <x v="0"/>
    <x v="74"/>
    <s v="[BT0239W] baby bathtub ที่รองนั่งกันลื่นสำหรับเด็ก สีขาว"/>
    <n v="220"/>
    <n v="4"/>
    <n v="60"/>
    <n v="598.13"/>
    <n v="7.0000000000000007E-2"/>
    <n v="640"/>
    <b v="1"/>
    <n v="1503.36"/>
    <n v="1503.36"/>
    <n v="22980"/>
    <n v="22980"/>
  </r>
  <r>
    <s v="__export__.sale_order_line_107"/>
    <x v="90"/>
    <x v="8"/>
    <x v="2"/>
    <x v="0"/>
    <x v="74"/>
    <s v="[ABR10021] MCแปรงล้างขวดนมแบบหมุนสีเขียวขายเป็นชิ้น"/>
    <n v="80"/>
    <n v="6"/>
    <n v="15"/>
    <n v="364.49"/>
    <n v="7.0000000000000007E-2"/>
    <n v="390"/>
    <b v="1"/>
    <n v="1503.36"/>
    <n v="1503.36"/>
    <n v="22980"/>
    <n v="22980"/>
  </r>
  <r>
    <s v="__export__.sale_order_line_108"/>
    <x v="90"/>
    <x v="8"/>
    <x v="2"/>
    <x v="0"/>
    <x v="74"/>
    <s v="[ABR10014] MCแปรงล้างขวดนมแบบหมุนสีฟ้าขายเป็นชิ้น"/>
    <n v="80"/>
    <n v="4"/>
    <n v="15"/>
    <n v="242.99"/>
    <n v="7.0000000000000007E-2"/>
    <n v="260"/>
    <b v="1"/>
    <n v="1503.36"/>
    <n v="1503.36"/>
    <n v="22980"/>
    <n v="22980"/>
  </r>
  <r>
    <s v="__export__.sale_order_line_109"/>
    <x v="90"/>
    <x v="8"/>
    <x v="2"/>
    <x v="0"/>
    <x v="74"/>
    <s v="[ABR10014] MCแปรงล้างขวดนมแบบหมุนสีฟ้าขายเป็นชิ้น"/>
    <n v="80"/>
    <n v="2"/>
    <n v="80"/>
    <m/>
    <n v="7.0000000000000007E-2"/>
    <n v="0"/>
    <b v="1"/>
    <n v="1503.36"/>
    <n v="1503.36"/>
    <n v="22980"/>
    <n v="22980"/>
  </r>
  <r>
    <s v="__export__.sale_order_line_110"/>
    <x v="90"/>
    <x v="8"/>
    <x v="2"/>
    <x v="0"/>
    <x v="74"/>
    <s v="[RK1032P1] เปลโยกสำหรับเด็กBear สีน้ำตาล P1"/>
    <n v="1740"/>
    <n v="4"/>
    <n v="390"/>
    <n v="5046.7299999999996"/>
    <n v="7.0000000000000007E-2"/>
    <n v="5400"/>
    <b v="1"/>
    <n v="1503.36"/>
    <n v="1503.36"/>
    <n v="22980"/>
    <n v="22980"/>
  </r>
  <r>
    <s v="__export__.sale_order_line_111"/>
    <x v="90"/>
    <x v="8"/>
    <x v="2"/>
    <x v="0"/>
    <x v="74"/>
    <s v="[RK1041P1] เปลโยกสำหรับเด็กBearสีฟ้า P1"/>
    <n v="1740"/>
    <n v="2"/>
    <n v="390"/>
    <n v="2523.36"/>
    <n v="7.0000000000000007E-2"/>
    <n v="2700"/>
    <b v="1"/>
    <n v="1503.36"/>
    <n v="1503.36"/>
    <n v="22980"/>
    <n v="22980"/>
  </r>
  <r>
    <s v="__export__.sale_order_line_112"/>
    <x v="90"/>
    <x v="8"/>
    <x v="2"/>
    <x v="0"/>
    <x v="74"/>
    <s v="[EP90212BL] ปั๊มนมไฟฟ้า  สีฟ้า P1"/>
    <n v="1600"/>
    <n v="4"/>
    <n v="700"/>
    <n v="3364.49"/>
    <n v="7.0000000000000007E-2"/>
    <n v="3600"/>
    <b v="1"/>
    <n v="1503.36"/>
    <n v="1503.36"/>
    <n v="22980"/>
    <n v="22980"/>
  </r>
  <r>
    <s v="__export__.sale_order_line_113"/>
    <x v="90"/>
    <x v="8"/>
    <x v="2"/>
    <x v="0"/>
    <x v="74"/>
    <s v="[SL5077P1] รถเข็นสำหรับเด็กMaxiสีแดง P1"/>
    <n v="1390"/>
    <n v="3"/>
    <n v="315"/>
    <n v="3014.02"/>
    <n v="7.0000000000000007E-2"/>
    <n v="3225"/>
    <b v="1"/>
    <n v="1503.36"/>
    <n v="1503.36"/>
    <n v="22980"/>
    <n v="22980"/>
  </r>
  <r>
    <s v="__export__.sale_order_line_114"/>
    <x v="90"/>
    <x v="8"/>
    <x v="2"/>
    <x v="0"/>
    <x v="74"/>
    <s v="[SL5081P1] รถเข็นสำหรับเด็กMaxiสีฟ้า P1"/>
    <n v="1390"/>
    <n v="3"/>
    <n v="315"/>
    <n v="3014.02"/>
    <n v="7.0000000000000007E-2"/>
    <n v="3225"/>
    <b v="1"/>
    <n v="1503.36"/>
    <n v="1503.36"/>
    <n v="22980"/>
    <n v="22980"/>
  </r>
  <r>
    <s v="__export__.sale_order_line_115"/>
    <x v="90"/>
    <x v="8"/>
    <x v="2"/>
    <x v="0"/>
    <x v="74"/>
    <s v="[BS7019] โต๊ะนั่งกินข้าวสำหรับเด็กสีขาว น้ำเงิน เขียว P1"/>
    <n v="1040"/>
    <n v="1"/>
    <n v="1040"/>
    <m/>
    <n v="7.0000000000000007E-2"/>
    <n v="0"/>
    <b v="1"/>
    <n v="1503.36"/>
    <n v="1503.36"/>
    <n v="22980"/>
    <n v="22980"/>
  </r>
  <r>
    <s v="__export__.sale_order_line_104"/>
    <x v="91"/>
    <x v="8"/>
    <x v="0"/>
    <x v="0"/>
    <x v="75"/>
    <s v="[AP3112] ไมย์แคร์ แผ่นปิดดูดสิว ไนท์ 12"/>
    <n v="169"/>
    <n v="1"/>
    <n v="-121"/>
    <n v="271.02999999999997"/>
    <n v="7.0000000000000007E-2"/>
    <n v="290"/>
    <m/>
    <n v="18.97"/>
    <n v="18.97"/>
    <n v="290"/>
    <n v="290"/>
  </r>
  <r>
    <s v="__export__.sale_order_line_102"/>
    <x v="92"/>
    <x v="8"/>
    <x v="2"/>
    <x v="0"/>
    <x v="76"/>
    <s v="[BT0226P] baby bathtub อ่างอาบน้ำเด็กขนาดเล็ก สีชมพู"/>
    <n v="650"/>
    <n v="1"/>
    <m/>
    <n v="607.48"/>
    <n v="7.0000000000000007E-2"/>
    <n v="650"/>
    <b v="1"/>
    <n v="55.1"/>
    <n v="55.1"/>
    <n v="842.29"/>
    <n v="842.29"/>
  </r>
  <r>
    <s v="__export__.sale_order_line_103"/>
    <x v="92"/>
    <x v="8"/>
    <x v="2"/>
    <x v="0"/>
    <x v="76"/>
    <s v="[BT0239W] baby bathtub ที่รองนั่งกันลื่นสำหรับเด็ก สีขาว"/>
    <n v="320"/>
    <n v="1"/>
    <n v="127.71"/>
    <n v="179.71"/>
    <n v="7.0000000000000007E-2"/>
    <n v="192.3"/>
    <b v="1"/>
    <n v="55.1"/>
    <n v="55.1"/>
    <n v="842.29"/>
    <n v="842.29"/>
  </r>
  <r>
    <s v="__export__.sale_order_line_101"/>
    <x v="93"/>
    <x v="8"/>
    <x v="2"/>
    <x v="0"/>
    <x v="77"/>
    <s v="[AP3012] ไมย์แคร์ แผ่นปิดดูดสิว เดย์ 12 "/>
    <n v="100"/>
    <n v="24"/>
    <n v="2.67"/>
    <n v="2183.1"/>
    <n v="7.0000000000000007E-2"/>
    <n v="2335.9"/>
    <b v="1"/>
    <n v="152.82"/>
    <n v="152.82"/>
    <n v="2335.92"/>
    <n v="2335.92"/>
  </r>
  <r>
    <s v="__export__.sale_order_line_96"/>
    <x v="94"/>
    <x v="9"/>
    <x v="2"/>
    <x v="0"/>
    <x v="1"/>
    <s v="[EP9024G] ปั๊มนมไฟฟ้า สีเขียว P1"/>
    <n v="1600"/>
    <n v="2"/>
    <n v="600"/>
    <n v="1869.16"/>
    <n v="7.0000000000000007E-2"/>
    <n v="2000"/>
    <b v="1"/>
    <n v="261.68"/>
    <n v="261.68"/>
    <n v="4000"/>
    <n v="4000"/>
  </r>
  <r>
    <s v="__export__.sale_order_line_97"/>
    <x v="94"/>
    <x v="9"/>
    <x v="2"/>
    <x v="0"/>
    <x v="1"/>
    <s v="[EP90212BL] ปั๊มนมไฟฟ้า  สีฟ้า P1"/>
    <n v="1600"/>
    <n v="2"/>
    <n v="600"/>
    <n v="1869.16"/>
    <n v="7.0000000000000007E-2"/>
    <n v="2000"/>
    <b v="1"/>
    <n v="261.68"/>
    <n v="261.68"/>
    <n v="4000"/>
    <n v="4000"/>
  </r>
  <r>
    <s v="__export__.sale_order_line_95"/>
    <x v="95"/>
    <x v="9"/>
    <x v="2"/>
    <x v="0"/>
    <x v="0"/>
    <s v="[WK3096P1] รถหัดเดินสำหรับเด็กFlowerสีชมพู P1"/>
    <n v="1090"/>
    <n v="1"/>
    <n v="220"/>
    <n v="813.08"/>
    <n v="7.0000000000000007E-2"/>
    <n v="870"/>
    <b v="1"/>
    <n v="56.92"/>
    <n v="56.92"/>
    <n v="870"/>
    <n v="870"/>
  </r>
  <r>
    <s v="__export__.sale_order_line_92"/>
    <x v="96"/>
    <x v="9"/>
    <x v="2"/>
    <x v="0"/>
    <x v="78"/>
    <s v="[RK1032P1] เปลโยกสำหรับเด็กBear สีน้ำตาล P1"/>
    <n v="1740"/>
    <n v="2"/>
    <n v="340"/>
    <n v="2616.8200000000002"/>
    <n v="7.0000000000000007E-2"/>
    <n v="2800"/>
    <b v="1"/>
    <n v="408.23"/>
    <n v="408.23"/>
    <n v="6240"/>
    <n v="6240"/>
  </r>
  <r>
    <s v="__export__.sale_order_line_93"/>
    <x v="96"/>
    <x v="9"/>
    <x v="2"/>
    <x v="0"/>
    <x v="78"/>
    <s v="[RK1041P1] เปลโยกสำหรับเด็กBearสีฟ้า P1"/>
    <n v="1740"/>
    <n v="2"/>
    <n v="340"/>
    <n v="2616.8200000000002"/>
    <n v="7.0000000000000007E-2"/>
    <n v="2800"/>
    <b v="1"/>
    <n v="408.23"/>
    <n v="408.23"/>
    <n v="6240"/>
    <n v="6240"/>
  </r>
  <r>
    <s v="__export__.sale_order_line_94"/>
    <x v="96"/>
    <x v="9"/>
    <x v="2"/>
    <x v="0"/>
    <x v="78"/>
    <s v="[BT0239W] baby bathtub ที่รองนั่งกันลื่นสำหรับเด็ก สีขาว"/>
    <n v="220"/>
    <n v="4"/>
    <n v="60"/>
    <n v="598.13"/>
    <n v="7.0000000000000007E-2"/>
    <n v="640"/>
    <b v="1"/>
    <n v="408.23"/>
    <n v="408.23"/>
    <n v="6240"/>
    <n v="6240"/>
  </r>
  <r>
    <s v="__export__.sale_order_line_89"/>
    <x v="97"/>
    <x v="9"/>
    <x v="2"/>
    <x v="7"/>
    <x v="79"/>
    <s v="[SL5054P1] รถเข็นสำหรับเด็กcompactสีเขียว P1"/>
    <n v="1320"/>
    <n v="1"/>
    <n v="245.23"/>
    <n v="1004.46"/>
    <n v="7.0000000000000007E-2"/>
    <n v="1074.8"/>
    <b v="1"/>
    <n v="210.93"/>
    <n v="210.93"/>
    <n v="3224.31"/>
    <n v="3224.31"/>
  </r>
  <r>
    <s v="__export__.sale_order_line_90"/>
    <x v="97"/>
    <x v="9"/>
    <x v="2"/>
    <x v="7"/>
    <x v="79"/>
    <s v="[SL5031P1] รถเข็นสำหรับเด็กcompactสีฟ้า P1"/>
    <n v="1320"/>
    <n v="1"/>
    <n v="245.23"/>
    <n v="1004.46"/>
    <n v="7.0000000000000007E-2"/>
    <n v="1074.8"/>
    <b v="1"/>
    <n v="210.93"/>
    <n v="210.93"/>
    <n v="3224.31"/>
    <n v="3224.31"/>
  </r>
  <r>
    <s v="__export__.sale_order_line_91"/>
    <x v="97"/>
    <x v="9"/>
    <x v="2"/>
    <x v="7"/>
    <x v="79"/>
    <s v="[SL5047P1] รถเข็นสำหรับเด็กcompactสีแดง P1"/>
    <n v="1320"/>
    <n v="1"/>
    <n v="245.23"/>
    <n v="1004.46"/>
    <n v="7.0000000000000007E-2"/>
    <n v="1074.8"/>
    <b v="1"/>
    <n v="210.93"/>
    <n v="210.93"/>
    <n v="3224.31"/>
    <n v="3224.31"/>
  </r>
  <r>
    <s v="__export__.sale_order_line_83"/>
    <x v="98"/>
    <x v="9"/>
    <x v="2"/>
    <x v="0"/>
    <x v="80"/>
    <s v="[SL501721P1] รถเข็นสำหรับเด็กMiniสีแดง สีฟ้า P1"/>
    <n v="1290"/>
    <n v="4"/>
    <n v="490"/>
    <n v="2990.65"/>
    <n v="7.0000000000000007E-2"/>
    <n v="3200"/>
    <b v="1"/>
    <n v="679.73"/>
    <n v="679.73"/>
    <n v="10390"/>
    <n v="10390"/>
  </r>
  <r>
    <s v="__export__.sale_order_line_84"/>
    <x v="98"/>
    <x v="9"/>
    <x v="2"/>
    <x v="0"/>
    <x v="80"/>
    <s v="[SL5031P1] รถเข็นสำหรับเด็กcompactสีฟ้า P1"/>
    <n v="1890"/>
    <n v="1"/>
    <n v="920"/>
    <n v="906.54"/>
    <n v="7.0000000000000007E-2"/>
    <n v="970"/>
    <b v="1"/>
    <n v="679.73"/>
    <n v="679.73"/>
    <n v="10390"/>
    <n v="10390"/>
  </r>
  <r>
    <s v="__export__.sale_order_line_85"/>
    <x v="98"/>
    <x v="9"/>
    <x v="2"/>
    <x v="0"/>
    <x v="80"/>
    <s v="[SL5047P1] รถเข็นสำหรับเด็กcompactสีแดง P1"/>
    <n v="1890"/>
    <n v="1"/>
    <n v="920"/>
    <n v="906.54"/>
    <n v="7.0000000000000007E-2"/>
    <n v="970"/>
    <b v="1"/>
    <n v="679.73"/>
    <n v="679.73"/>
    <n v="10390"/>
    <n v="10390"/>
  </r>
  <r>
    <s v="__export__.sale_order_line_86"/>
    <x v="98"/>
    <x v="9"/>
    <x v="2"/>
    <x v="0"/>
    <x v="80"/>
    <s v="[SL506457P1] รถเข็นสำหรับเด็กMini2สีแดง สีเขียว P1"/>
    <n v="1690"/>
    <n v="2"/>
    <n v="790"/>
    <n v="1682.24"/>
    <n v="7.0000000000000007E-2"/>
    <n v="1800"/>
    <b v="1"/>
    <n v="679.73"/>
    <n v="679.73"/>
    <n v="10390"/>
    <n v="10390"/>
  </r>
  <r>
    <s v="__export__.sale_order_line_87"/>
    <x v="98"/>
    <x v="9"/>
    <x v="2"/>
    <x v="0"/>
    <x v="80"/>
    <s v="[SL5077P1] รถเข็นสำหรับเด็กMaxiสีแดง P1"/>
    <n v="1990"/>
    <n v="2"/>
    <n v="840"/>
    <n v="2149.5300000000002"/>
    <n v="7.0000000000000007E-2"/>
    <n v="2300"/>
    <b v="1"/>
    <n v="679.73"/>
    <n v="679.73"/>
    <n v="10390"/>
    <n v="10390"/>
  </r>
  <r>
    <s v="__export__.sale_order_line_88"/>
    <x v="98"/>
    <x v="9"/>
    <x v="2"/>
    <x v="0"/>
    <x v="80"/>
    <s v="[SL5081P1] รถเข็นสำหรับเด็กMaxiสีฟ้า P1"/>
    <n v="1990"/>
    <n v="1"/>
    <n v="840"/>
    <n v="1074.77"/>
    <n v="7.0000000000000007E-2"/>
    <n v="1150"/>
    <b v="1"/>
    <n v="679.73"/>
    <n v="679.73"/>
    <n v="10390"/>
    <n v="10390"/>
  </r>
  <r>
    <s v="__export__.sale_order_line_77"/>
    <x v="99"/>
    <x v="9"/>
    <x v="2"/>
    <x v="2"/>
    <x v="81"/>
    <s v="[SL5081P1] รถเข็นสำหรับเด็กMaxiสีฟ้า P1"/>
    <n v="1390"/>
    <n v="4"/>
    <n v="240"/>
    <n v="4299.07"/>
    <n v="7.0000000000000007E-2"/>
    <n v="4600"/>
    <b v="1"/>
    <n v="541.67999999999995"/>
    <n v="541.67999999999995"/>
    <n v="8280"/>
    <n v="8280"/>
  </r>
  <r>
    <s v="__export__.sale_order_line_78"/>
    <x v="99"/>
    <x v="9"/>
    <x v="2"/>
    <x v="2"/>
    <x v="81"/>
    <s v="[SL5077P1] รถเข็นสำหรับเด็กMaxiสีแดง P1"/>
    <n v="1390"/>
    <n v="2"/>
    <n v="240"/>
    <n v="2149.5300000000002"/>
    <n v="7.0000000000000007E-2"/>
    <n v="2300"/>
    <b v="1"/>
    <n v="541.67999999999995"/>
    <n v="541.67999999999995"/>
    <n v="8280"/>
    <n v="8280"/>
  </r>
  <r>
    <s v="__export__.sale_order_line_79"/>
    <x v="99"/>
    <x v="9"/>
    <x v="2"/>
    <x v="2"/>
    <x v="81"/>
    <s v="[BT2021P1] อ่างอาบน้ำสำหรับเด็กยกระดับสีฟ้า P1"/>
    <n v="340"/>
    <n v="3"/>
    <n v="110"/>
    <n v="644.86"/>
    <n v="7.0000000000000007E-2"/>
    <n v="690"/>
    <b v="1"/>
    <n v="541.67999999999995"/>
    <n v="541.67999999999995"/>
    <n v="8280"/>
    <n v="8280"/>
  </r>
  <r>
    <s v="__export__.sale_order_line_80"/>
    <x v="99"/>
    <x v="9"/>
    <x v="2"/>
    <x v="2"/>
    <x v="81"/>
    <s v="[BT2019P1] อ่างอาบน้ำสำหรับเด็กยกระดับสีขาว P1"/>
    <n v="340"/>
    <n v="2"/>
    <n v="110"/>
    <n v="429.91"/>
    <n v="7.0000000000000007E-2"/>
    <n v="460"/>
    <b v="1"/>
    <n v="541.67999999999995"/>
    <n v="541.67999999999995"/>
    <n v="8280"/>
    <n v="8280"/>
  </r>
  <r>
    <s v="__export__.sale_order_line_81"/>
    <x v="99"/>
    <x v="9"/>
    <x v="2"/>
    <x v="2"/>
    <x v="81"/>
    <s v="[BT2058P1] อ่างอาบน้ำสำหรับเด็กยกระดับสีเหลือง P1"/>
    <n v="340"/>
    <n v="1"/>
    <n v="110"/>
    <n v="214.95"/>
    <n v="7.0000000000000007E-2"/>
    <n v="230"/>
    <b v="1"/>
    <n v="541.67999999999995"/>
    <n v="541.67999999999995"/>
    <n v="8280"/>
    <n v="8280"/>
  </r>
  <r>
    <s v="__export__.sale_order_line_82"/>
    <x v="99"/>
    <x v="9"/>
    <x v="2"/>
    <x v="2"/>
    <x v="81"/>
    <s v="[ABR1014P12] แปรงล้างขวดนมและจุกนมสีฟ้า สีชมพู ขายเป็นโหล"/>
    <m/>
    <n v="1"/>
    <m/>
    <m/>
    <n v="7.0000000000000007E-2"/>
    <n v="0"/>
    <b v="1"/>
    <n v="541.67999999999995"/>
    <n v="541.67999999999995"/>
    <n v="8280"/>
    <n v="8280"/>
  </r>
  <r>
    <s v="__export__.sale_order_line_72"/>
    <x v="100"/>
    <x v="9"/>
    <x v="2"/>
    <x v="2"/>
    <x v="82"/>
    <s v="[SL5054P1] รถเข็นสำหรับเด็กcompactสีเขียว P1"/>
    <n v="1320"/>
    <n v="2"/>
    <n v="350"/>
    <n v="1813.08"/>
    <n v="7.0000000000000007E-2"/>
    <n v="1940"/>
    <m/>
    <n v="718.32"/>
    <n v="718.32"/>
    <n v="10979.98"/>
    <n v="10979.98"/>
  </r>
  <r>
    <s v="__export__.sale_order_line_73"/>
    <x v="100"/>
    <x v="9"/>
    <x v="2"/>
    <x v="2"/>
    <x v="82"/>
    <s v="[SL5031P1] รถเข็นสำหรับเด็กcompactสีฟ้า P1"/>
    <n v="1320"/>
    <n v="2"/>
    <n v="350"/>
    <n v="1813.08"/>
    <n v="7.0000000000000007E-2"/>
    <n v="1940"/>
    <m/>
    <n v="718.32"/>
    <n v="718.32"/>
    <n v="10979.98"/>
    <n v="10979.98"/>
  </r>
  <r>
    <s v="__export__.sale_order_line_74"/>
    <x v="100"/>
    <x v="9"/>
    <x v="2"/>
    <x v="2"/>
    <x v="82"/>
    <s v="[SL5047P1] รถเข็นสำหรับเด็กcompactสีแดง P1"/>
    <n v="1320"/>
    <n v="2"/>
    <n v="350"/>
    <n v="1813.08"/>
    <n v="7.0000000000000007E-2"/>
    <n v="1940"/>
    <m/>
    <n v="718.32"/>
    <n v="718.32"/>
    <n v="10979.98"/>
    <n v="10979.98"/>
  </r>
  <r>
    <s v="__export__.sale_order_line_75"/>
    <x v="100"/>
    <x v="9"/>
    <x v="0"/>
    <x v="2"/>
    <x v="82"/>
    <s v="[SL5057P1] รถเข็นสำหรับเด็กMini2สีแดง P1"/>
    <n v="1180"/>
    <n v="3"/>
    <n v="320"/>
    <n v="2411.21"/>
    <n v="7.0000000000000007E-2"/>
    <n v="2580"/>
    <m/>
    <n v="718.32"/>
    <n v="718.32"/>
    <n v="10979.98"/>
    <n v="10979.98"/>
  </r>
  <r>
    <s v="__export__.sale_order_line_76"/>
    <x v="100"/>
    <x v="9"/>
    <x v="0"/>
    <x v="2"/>
    <x v="82"/>
    <s v="[SL5064P1] รถเข็นสำหรับเด็กMini2สีเขียว P1"/>
    <n v="1180"/>
    <n v="3"/>
    <n v="320"/>
    <n v="2411.21"/>
    <n v="7.0000000000000007E-2"/>
    <n v="2580"/>
    <m/>
    <n v="718.32"/>
    <n v="718.32"/>
    <n v="10979.98"/>
    <n v="10979.98"/>
  </r>
  <r>
    <s v="__export__.sale_order_line_71"/>
    <x v="101"/>
    <x v="9"/>
    <x v="2"/>
    <x v="0"/>
    <x v="83"/>
    <s v="[WK3046P1] รถหัดเดินสำหรับเด็กFishสีชมพู P1"/>
    <n v="690"/>
    <n v="2"/>
    <n v="40"/>
    <n v="1214.95"/>
    <n v="7.0000000000000007E-2"/>
    <n v="1300"/>
    <b v="1"/>
    <n v="170.1"/>
    <n v="170.1"/>
    <n v="2600"/>
    <n v="2600"/>
  </r>
  <r>
    <s v="__export__.sale_order_line_98"/>
    <x v="101"/>
    <x v="9"/>
    <x v="2"/>
    <x v="0"/>
    <x v="83"/>
    <s v="[WK3051P1] รถหัดเดินสำหรับเด็กFishสีฟ้า P1"/>
    <n v="690"/>
    <n v="2"/>
    <n v="40"/>
    <n v="1214.95"/>
    <n v="7.0000000000000007E-2"/>
    <n v="1300"/>
    <b v="1"/>
    <n v="170.1"/>
    <n v="170.1"/>
    <n v="2600"/>
    <n v="2600"/>
  </r>
  <r>
    <s v="__export__.sale_order_line_65"/>
    <x v="102"/>
    <x v="9"/>
    <x v="2"/>
    <x v="0"/>
    <x v="84"/>
    <s v="[SL5017P1] รถเข็นสำหรับเด็ก Miniสีแดง P1"/>
    <n v="900"/>
    <n v="2"/>
    <n v="100"/>
    <n v="1495.33"/>
    <n v="7.0000000000000007E-2"/>
    <n v="1600"/>
    <b v="1"/>
    <n v="631.30999999999995"/>
    <n v="631.30999999999995"/>
    <n v="9650"/>
    <n v="9650"/>
  </r>
  <r>
    <s v="__export__.sale_order_line_66"/>
    <x v="102"/>
    <x v="9"/>
    <x v="2"/>
    <x v="0"/>
    <x v="84"/>
    <s v="[SL501721P1] รถเข็นสำหรับเด็กMiniสีฟ้า P1"/>
    <n v="900"/>
    <n v="2"/>
    <n v="100"/>
    <n v="1495.33"/>
    <n v="7.0000000000000007E-2"/>
    <n v="1600"/>
    <b v="1"/>
    <n v="631.30999999999995"/>
    <n v="631.30999999999995"/>
    <n v="9650"/>
    <n v="9650"/>
  </r>
  <r>
    <s v="__export__.sale_order_line_67"/>
    <x v="102"/>
    <x v="9"/>
    <x v="2"/>
    <x v="0"/>
    <x v="84"/>
    <s v="[SL5057P1] รถเข็นสำหรับเด็กMini2สีแดง P1"/>
    <n v="1180"/>
    <n v="1"/>
    <n v="280"/>
    <n v="841.12"/>
    <n v="7.0000000000000007E-2"/>
    <n v="900"/>
    <b v="1"/>
    <n v="631.30999999999995"/>
    <n v="631.30999999999995"/>
    <n v="9650"/>
    <n v="9650"/>
  </r>
  <r>
    <s v="__export__.sale_order_line_68"/>
    <x v="102"/>
    <x v="9"/>
    <x v="2"/>
    <x v="0"/>
    <x v="84"/>
    <s v="[SL506457P1] รถเข็นสำหรับเด็กMini2สีเขียว P1"/>
    <n v="1180"/>
    <n v="2"/>
    <n v="280"/>
    <n v="1682.24"/>
    <n v="7.0000000000000007E-2"/>
    <n v="1800"/>
    <b v="1"/>
    <n v="631.30999999999995"/>
    <n v="631.30999999999995"/>
    <n v="9650"/>
    <n v="9650"/>
  </r>
  <r>
    <s v="__export__.sale_order_line_69"/>
    <x v="102"/>
    <x v="9"/>
    <x v="2"/>
    <x v="0"/>
    <x v="84"/>
    <s v="[SL5077P1] รถเข็นสำหรับเด็กMaxiสีแดง P1"/>
    <n v="1390"/>
    <n v="2"/>
    <n v="140"/>
    <n v="2336.4499999999998"/>
    <n v="7.0000000000000007E-2"/>
    <n v="2500"/>
    <b v="1"/>
    <n v="631.30999999999995"/>
    <n v="631.30999999999995"/>
    <n v="9650"/>
    <n v="9650"/>
  </r>
  <r>
    <s v="__export__.sale_order_line_70"/>
    <x v="102"/>
    <x v="9"/>
    <x v="2"/>
    <x v="0"/>
    <x v="84"/>
    <s v="[SL5081P1] รถเข็นสำหรับเด็กMaxiสีฟ้า P1"/>
    <n v="1390"/>
    <n v="1"/>
    <n v="140"/>
    <n v="1168.22"/>
    <n v="7.0000000000000007E-2"/>
    <n v="1250"/>
    <b v="1"/>
    <n v="631.30999999999995"/>
    <n v="631.30999999999995"/>
    <n v="9650"/>
    <n v="9650"/>
  </r>
  <r>
    <s v="__export__.sale_order_line_59"/>
    <x v="103"/>
    <x v="9"/>
    <x v="2"/>
    <x v="0"/>
    <x v="85"/>
    <s v="[SL5017P1] รถเข็นสำหรับเด็ก Miniสีแดง P1"/>
    <n v="900"/>
    <n v="2"/>
    <n v="100"/>
    <n v="1495.33"/>
    <n v="7.0000000000000007E-2"/>
    <n v="1600"/>
    <b v="1"/>
    <n v="529.9"/>
    <n v="529.9"/>
    <n v="8100"/>
    <n v="8100"/>
  </r>
  <r>
    <s v="__export__.sale_order_line_60"/>
    <x v="103"/>
    <x v="9"/>
    <x v="2"/>
    <x v="0"/>
    <x v="85"/>
    <s v="[SL5021P1] รถเข็นสำหรับเด็ก Miniสีฟ้า P1"/>
    <n v="900"/>
    <n v="2"/>
    <n v="100"/>
    <n v="1495.33"/>
    <n v="7.0000000000000007E-2"/>
    <n v="1600"/>
    <b v="1"/>
    <n v="529.9"/>
    <n v="529.9"/>
    <n v="8100"/>
    <n v="8100"/>
  </r>
  <r>
    <s v="__export__.sale_order_line_61"/>
    <x v="103"/>
    <x v="9"/>
    <x v="2"/>
    <x v="0"/>
    <x v="85"/>
    <s v="[SL5057P1] รถเข็นสำหรับเด็กMini2สีแดง P1"/>
    <n v="1180"/>
    <n v="1"/>
    <n v="280"/>
    <n v="841.12"/>
    <n v="7.0000000000000007E-2"/>
    <n v="900"/>
    <b v="1"/>
    <n v="529.9"/>
    <n v="529.9"/>
    <n v="8100"/>
    <n v="8100"/>
  </r>
  <r>
    <s v="__export__.sale_order_line_62"/>
    <x v="103"/>
    <x v="9"/>
    <x v="2"/>
    <x v="0"/>
    <x v="85"/>
    <s v="[SL5064P1] รถเข็นสำหรับเด็กMini2สีเขียว P1"/>
    <n v="1180"/>
    <n v="2"/>
    <n v="280"/>
    <n v="1682.24"/>
    <n v="7.0000000000000007E-2"/>
    <n v="1800"/>
    <b v="1"/>
    <n v="529.9"/>
    <n v="529.9"/>
    <n v="8100"/>
    <n v="8100"/>
  </r>
  <r>
    <s v="__export__.sale_order_line_63"/>
    <x v="103"/>
    <x v="9"/>
    <x v="2"/>
    <x v="0"/>
    <x v="85"/>
    <s v="[WK3121P1] รถหัดเดินสำหรับเด็ก Rock and Ruk สีฟ้า P1"/>
    <n v="1180"/>
    <n v="1"/>
    <n v="80"/>
    <n v="1028.04"/>
    <n v="7.0000000000000007E-2"/>
    <n v="1100"/>
    <b v="1"/>
    <n v="529.9"/>
    <n v="529.9"/>
    <n v="8100"/>
    <n v="8100"/>
  </r>
  <r>
    <s v="__export__.sale_order_line_64"/>
    <x v="103"/>
    <x v="9"/>
    <x v="2"/>
    <x v="0"/>
    <x v="85"/>
    <s v="[WK3136P1] รถหัดเดินสำหรับเด็ก Rock and Ruk สีชมพู P1"/>
    <n v="1180"/>
    <n v="1"/>
    <n v="80"/>
    <n v="1028.04"/>
    <n v="7.0000000000000007E-2"/>
    <n v="1100"/>
    <b v="1"/>
    <n v="529.9"/>
    <n v="529.9"/>
    <n v="8100"/>
    <n v="8100"/>
  </r>
  <r>
    <s v="__export__.sale_order_line_56"/>
    <x v="104"/>
    <x v="9"/>
    <x v="0"/>
    <x v="0"/>
    <x v="5"/>
    <s v="[WK3034P1] รถหัดเดินสำหรับเด็ก2in1สีเขียว P1"/>
    <n v="970"/>
    <n v="5"/>
    <n v="255"/>
    <n v="3341.12"/>
    <n v="7.0000000000000007E-2"/>
    <n v="3575"/>
    <m/>
    <n v="561.30999999999995"/>
    <n v="561.30999999999995"/>
    <n v="8580"/>
    <n v="8580"/>
  </r>
  <r>
    <s v="__export__.sale_order_line_57"/>
    <x v="104"/>
    <x v="9"/>
    <x v="0"/>
    <x v="0"/>
    <x v="5"/>
    <s v="[WK3026P1] รถหัดเดินสำหรับเด็ก2in1สีชมพู P1"/>
    <n v="970"/>
    <n v="3"/>
    <n v="255"/>
    <n v="2004.67"/>
    <n v="7.0000000000000007E-2"/>
    <n v="2145"/>
    <m/>
    <n v="561.30999999999995"/>
    <n v="561.30999999999995"/>
    <n v="8580"/>
    <n v="8580"/>
  </r>
  <r>
    <s v="__export__.sale_order_line_58"/>
    <x v="104"/>
    <x v="9"/>
    <x v="0"/>
    <x v="0"/>
    <x v="5"/>
    <s v="[WK3011P1] รถหัดเดินสำหรับเด็ก2in1สีฟ้า P1"/>
    <n v="970"/>
    <n v="4"/>
    <n v="255"/>
    <n v="2672.9"/>
    <n v="7.0000000000000007E-2"/>
    <n v="2860"/>
    <m/>
    <n v="561.30999999999995"/>
    <n v="561.30999999999995"/>
    <n v="8580"/>
    <n v="8580"/>
  </r>
  <r>
    <s v="__export__.sale_order_line_53"/>
    <x v="105"/>
    <x v="9"/>
    <x v="2"/>
    <x v="0"/>
    <x v="5"/>
    <s v="[WK3034P1] รถหัดเดินสำหรับเด็ก2in1สีเขียว P1"/>
    <n v="1390"/>
    <n v="2"/>
    <n v="675"/>
    <n v="1336.45"/>
    <n v="7.0000000000000007E-2"/>
    <n v="1430"/>
    <m/>
    <n v="280.64999999999998"/>
    <n v="280.64999999999998"/>
    <n v="4290"/>
    <n v="4290"/>
  </r>
  <r>
    <s v="__export__.sale_order_line_54"/>
    <x v="105"/>
    <x v="9"/>
    <x v="0"/>
    <x v="0"/>
    <x v="5"/>
    <s v="[WK3026P1] รถหัดเดินสำหรับเด็ก2in1สีชมพู P1"/>
    <n v="1390"/>
    <n v="2"/>
    <n v="675"/>
    <n v="1336.45"/>
    <n v="7.0000000000000007E-2"/>
    <n v="1430"/>
    <m/>
    <n v="280.64999999999998"/>
    <n v="280.64999999999998"/>
    <n v="4290"/>
    <n v="4290"/>
  </r>
  <r>
    <s v="__export__.sale_order_line_55"/>
    <x v="105"/>
    <x v="9"/>
    <x v="2"/>
    <x v="0"/>
    <x v="5"/>
    <s v="[WK3011P1] รถหัดเดินสำหรับเด็ก2in1สีฟ้า P1"/>
    <n v="1390"/>
    <n v="2"/>
    <n v="675"/>
    <n v="1336.45"/>
    <n v="7.0000000000000007E-2"/>
    <n v="1430"/>
    <m/>
    <n v="280.64999999999998"/>
    <n v="280.64999999999998"/>
    <n v="4290"/>
    <n v="4290"/>
  </r>
  <r>
    <s v="__export__.sale_order_line_42"/>
    <x v="106"/>
    <x v="9"/>
    <x v="2"/>
    <x v="0"/>
    <x v="86"/>
    <s v="[EP9024G] ปั๊มนมไฟฟ้า สีเขียว P1"/>
    <n v="1600"/>
    <n v="3"/>
    <n v="700"/>
    <n v="2523.36"/>
    <n v="7.0000000000000007E-2"/>
    <n v="2700"/>
    <b v="1"/>
    <n v="874.69"/>
    <n v="874.69"/>
    <n v="13370"/>
    <n v="13370"/>
  </r>
  <r>
    <s v="__export__.sale_order_line_43"/>
    <x v="106"/>
    <x v="9"/>
    <x v="2"/>
    <x v="0"/>
    <x v="86"/>
    <s v="[WK3076P1] รถหัดเดินสำหรับเด็กDelux4in1สีชมพู P1 "/>
    <n v="1600"/>
    <n v="2"/>
    <n v="600"/>
    <n v="1869.16"/>
    <n v="7.0000000000000007E-2"/>
    <n v="2000"/>
    <b v="1"/>
    <n v="874.69"/>
    <n v="874.69"/>
    <n v="13370"/>
    <n v="13370"/>
  </r>
  <r>
    <s v="__export__.sale_order_line_44"/>
    <x v="106"/>
    <x v="9"/>
    <x v="2"/>
    <x v="0"/>
    <x v="86"/>
    <s v="[WK3061P1] รถหัดเดินสำหรับเด็กDelux4in1สีฟ้า P1"/>
    <n v="1600"/>
    <n v="1"/>
    <n v="600"/>
    <n v="934.58"/>
    <n v="7.0000000000000007E-2"/>
    <n v="1000"/>
    <b v="1"/>
    <n v="874.69"/>
    <n v="874.69"/>
    <n v="13370"/>
    <n v="13370"/>
  </r>
  <r>
    <s v="__export__.sale_order_line_45"/>
    <x v="106"/>
    <x v="9"/>
    <x v="2"/>
    <x v="0"/>
    <x v="86"/>
    <s v="[SL5047P1] รถเข็นสำหรับเด็กcompactสีแดง P1"/>
    <n v="1320"/>
    <n v="1"/>
    <n v="350"/>
    <n v="906.54"/>
    <n v="7.0000000000000007E-2"/>
    <n v="970"/>
    <b v="1"/>
    <n v="874.69"/>
    <n v="874.69"/>
    <n v="13370"/>
    <n v="13370"/>
  </r>
  <r>
    <s v="__export__.sale_order_line_46"/>
    <x v="106"/>
    <x v="9"/>
    <x v="2"/>
    <x v="0"/>
    <x v="86"/>
    <s v="[SL5054P1] รถเข็นสำหรับเด็กcompactสีเขียว P1"/>
    <n v="1320"/>
    <n v="1"/>
    <n v="350"/>
    <n v="906.54"/>
    <n v="7.0000000000000007E-2"/>
    <n v="970"/>
    <b v="1"/>
    <n v="874.69"/>
    <n v="874.69"/>
    <n v="13370"/>
    <n v="13370"/>
  </r>
  <r>
    <s v="__export__.sale_order_line_47"/>
    <x v="106"/>
    <x v="9"/>
    <x v="2"/>
    <x v="0"/>
    <x v="86"/>
    <s v="[SL5031P1] รถเข็นสำหรับเด็กcompactสีฟ้า P1"/>
    <n v="1320"/>
    <n v="1"/>
    <n v="350"/>
    <n v="906.54"/>
    <n v="7.0000000000000007E-2"/>
    <n v="970"/>
    <b v="1"/>
    <n v="874.69"/>
    <n v="874.69"/>
    <n v="13370"/>
    <n v="13370"/>
  </r>
  <r>
    <s v="__export__.sale_order_line_48"/>
    <x v="106"/>
    <x v="9"/>
    <x v="2"/>
    <x v="0"/>
    <x v="86"/>
    <s v="[SL5077P1] รถเข็นสำหรับเด็กMaxiสีแดง P1"/>
    <n v="1390"/>
    <n v="1"/>
    <n v="160"/>
    <n v="1149.53"/>
    <n v="7.0000000000000007E-2"/>
    <n v="1230"/>
    <b v="1"/>
    <n v="874.69"/>
    <n v="874.69"/>
    <n v="13370"/>
    <n v="13370"/>
  </r>
  <r>
    <s v="__export__.sale_order_line_49"/>
    <x v="106"/>
    <x v="9"/>
    <x v="2"/>
    <x v="0"/>
    <x v="86"/>
    <s v="[SL5081P1] รถเข็นสำหรับเด็กMaxiสีฟ้า P1"/>
    <n v="1390"/>
    <n v="1"/>
    <n v="160"/>
    <n v="1149.53"/>
    <n v="7.0000000000000007E-2"/>
    <n v="1230"/>
    <b v="1"/>
    <n v="874.69"/>
    <n v="874.69"/>
    <n v="13370"/>
    <n v="13370"/>
  </r>
  <r>
    <s v="__export__.sale_order_line_50"/>
    <x v="106"/>
    <x v="9"/>
    <x v="2"/>
    <x v="0"/>
    <x v="86"/>
    <s v="[SL5057P1] รถเข็นสำหรับเด็กMini2สีแดง P1"/>
    <n v="1180"/>
    <n v="1"/>
    <n v="380"/>
    <n v="747.66"/>
    <n v="7.0000000000000007E-2"/>
    <n v="800"/>
    <b v="1"/>
    <n v="874.69"/>
    <n v="874.69"/>
    <n v="13370"/>
    <n v="13370"/>
  </r>
  <r>
    <s v="__export__.sale_order_line_51"/>
    <x v="106"/>
    <x v="9"/>
    <x v="2"/>
    <x v="0"/>
    <x v="86"/>
    <s v="[SL506457P1] รถเข็นสำหรับเด็กMini2สีเขียว P1"/>
    <n v="1180"/>
    <n v="1"/>
    <n v="380"/>
    <n v="747.66"/>
    <n v="7.0000000000000007E-2"/>
    <n v="800"/>
    <b v="1"/>
    <n v="874.69"/>
    <n v="874.69"/>
    <n v="13370"/>
    <n v="13370"/>
  </r>
  <r>
    <s v="__export__.sale_order_line_52"/>
    <x v="106"/>
    <x v="9"/>
    <x v="2"/>
    <x v="0"/>
    <x v="86"/>
    <s v="[PT8019] กระโถนสำหรับเด็ก 3in1 สีม่วง ขาว P1"/>
    <n v="550"/>
    <n v="2"/>
    <n v="200"/>
    <n v="654.21"/>
    <n v="7.0000000000000007E-2"/>
    <n v="700"/>
    <b v="1"/>
    <n v="874.69"/>
    <n v="874.69"/>
    <n v="13370"/>
    <n v="13370"/>
  </r>
  <r>
    <s v="__export__.sale_order_line_29"/>
    <x v="107"/>
    <x v="9"/>
    <x v="2"/>
    <x v="0"/>
    <x v="87"/>
    <s v="[EP9024G] ปั๊มนมไฟฟ้า สีเขียว P1"/>
    <n v="1600"/>
    <n v="3"/>
    <n v="700"/>
    <n v="2523.36"/>
    <n v="7.0000000000000007E-2"/>
    <n v="2700"/>
    <b v="1"/>
    <n v="1424.21"/>
    <n v="1424.21"/>
    <n v="21770"/>
    <n v="21770"/>
  </r>
  <r>
    <s v="__export__.sale_order_line_30"/>
    <x v="107"/>
    <x v="9"/>
    <x v="2"/>
    <x v="0"/>
    <x v="87"/>
    <s v="[WK3121P1] รถหัดเดินสำหรับเด็ก Rock and Ruk สีฟ้า P1"/>
    <n v="1180"/>
    <n v="3"/>
    <n v="230"/>
    <n v="2663.55"/>
    <n v="7.0000000000000007E-2"/>
    <n v="2850"/>
    <b v="1"/>
    <n v="1424.21"/>
    <n v="1424.21"/>
    <n v="21770"/>
    <n v="21770"/>
  </r>
  <r>
    <s v="__export__.sale_order_line_31"/>
    <x v="107"/>
    <x v="9"/>
    <x v="2"/>
    <x v="0"/>
    <x v="87"/>
    <s v="[WK3136P1] รถหัดเดินสำหรับเด็ก Rock and Ruk สีชมพู P1"/>
    <n v="1180"/>
    <n v="3"/>
    <n v="230"/>
    <n v="2663.55"/>
    <n v="7.0000000000000007E-2"/>
    <n v="2850"/>
    <b v="1"/>
    <n v="1424.21"/>
    <n v="1424.21"/>
    <n v="21770"/>
    <n v="21770"/>
  </r>
  <r>
    <s v="__export__.sale_order_line_32"/>
    <x v="107"/>
    <x v="9"/>
    <x v="2"/>
    <x v="0"/>
    <x v="87"/>
    <s v="[SL5057P1] รถเข็นสำหรับเด็กMini2สีแดง P1"/>
    <n v="1180"/>
    <n v="2"/>
    <n v="380"/>
    <n v="1495.33"/>
    <n v="7.0000000000000007E-2"/>
    <n v="1600"/>
    <b v="1"/>
    <n v="1424.21"/>
    <n v="1424.21"/>
    <n v="21770"/>
    <n v="21770"/>
  </r>
  <r>
    <s v="__export__.sale_order_line_33"/>
    <x v="107"/>
    <x v="9"/>
    <x v="2"/>
    <x v="0"/>
    <x v="87"/>
    <s v="[SL5064P1] รถเข็นสำหรับเด็กMini2สีเขียว P1"/>
    <n v="1180"/>
    <n v="2"/>
    <n v="380"/>
    <n v="1495.33"/>
    <n v="7.0000000000000007E-2"/>
    <n v="1600"/>
    <b v="1"/>
    <n v="1424.21"/>
    <n v="1424.21"/>
    <n v="21770"/>
    <n v="21770"/>
  </r>
  <r>
    <s v="__export__.sale_order_line_34"/>
    <x v="107"/>
    <x v="9"/>
    <x v="2"/>
    <x v="0"/>
    <x v="87"/>
    <s v="[WK3034P1] รถหัดเดินสำหรับเด็ก2in1สีเขียว P1"/>
    <n v="970"/>
    <n v="2"/>
    <n v="220"/>
    <n v="1401.87"/>
    <n v="7.0000000000000007E-2"/>
    <n v="1500"/>
    <b v="1"/>
    <n v="1424.21"/>
    <n v="1424.21"/>
    <n v="21770"/>
    <n v="21770"/>
  </r>
  <r>
    <s v="__export__.sale_order_line_35"/>
    <x v="107"/>
    <x v="9"/>
    <x v="2"/>
    <x v="0"/>
    <x v="87"/>
    <s v="[WK3026P1] รถหัดเดินสำหรับเด็ก2in1สีชมพู P1"/>
    <n v="970"/>
    <n v="3"/>
    <n v="220"/>
    <n v="2102.8000000000002"/>
    <n v="7.0000000000000007E-2"/>
    <n v="2250"/>
    <b v="1"/>
    <n v="1424.21"/>
    <n v="1424.21"/>
    <n v="21770"/>
    <n v="21770"/>
  </r>
  <r>
    <s v="__export__.sale_order_line_36"/>
    <x v="107"/>
    <x v="9"/>
    <x v="2"/>
    <x v="0"/>
    <x v="87"/>
    <s v="[WK3011P1] รถหัดเดินสำหรับเด็ก2in1สีฟ้า P1"/>
    <n v="970"/>
    <n v="3"/>
    <n v="220"/>
    <n v="2102.8000000000002"/>
    <n v="7.0000000000000007E-2"/>
    <n v="2250"/>
    <b v="1"/>
    <n v="1424.21"/>
    <n v="1424.21"/>
    <n v="21770"/>
    <n v="21770"/>
  </r>
  <r>
    <s v="__export__.sale_order_line_37"/>
    <x v="107"/>
    <x v="9"/>
    <x v="2"/>
    <x v="0"/>
    <x v="87"/>
    <s v="[BS7019] โต๊ะนั่งกินข้าวสำหรับเด็กสีขาว น้ำเงิน เขียว P1"/>
    <n v="1040"/>
    <n v="2"/>
    <n v="440"/>
    <n v="1121.5"/>
    <n v="7.0000000000000007E-2"/>
    <n v="1200"/>
    <b v="1"/>
    <n v="1424.21"/>
    <n v="1424.21"/>
    <n v="21770"/>
    <n v="21770"/>
  </r>
  <r>
    <s v="__export__.sale_order_line_38"/>
    <x v="107"/>
    <x v="9"/>
    <x v="2"/>
    <x v="0"/>
    <x v="87"/>
    <s v="[BT2019P1] อ่างอาบน้ำสำหรับเด็กยกระดับสีขาว P1"/>
    <n v="340"/>
    <n v="3"/>
    <n v="100"/>
    <n v="672.9"/>
    <n v="7.0000000000000007E-2"/>
    <n v="720"/>
    <b v="1"/>
    <n v="1424.21"/>
    <n v="1424.21"/>
    <n v="21770"/>
    <n v="21770"/>
  </r>
  <r>
    <s v="__export__.sale_order_line_39"/>
    <x v="107"/>
    <x v="9"/>
    <x v="2"/>
    <x v="0"/>
    <x v="87"/>
    <s v="[BT2058P1] อ่างอาบน้ำสำหรับเด็กยกระดับสีเหลือง P1"/>
    <n v="340"/>
    <n v="3"/>
    <n v="100"/>
    <n v="672.9"/>
    <n v="7.0000000000000007E-2"/>
    <n v="720"/>
    <b v="1"/>
    <n v="1424.21"/>
    <n v="1424.21"/>
    <n v="21770"/>
    <n v="21770"/>
  </r>
  <r>
    <s v="__export__.sale_order_line_40"/>
    <x v="107"/>
    <x v="9"/>
    <x v="2"/>
    <x v="0"/>
    <x v="87"/>
    <s v="[BT2046P1] อ่างอาบน้ำสำหรับเด็กขอบจับสีชมพู P1"/>
    <n v="320"/>
    <n v="3"/>
    <n v="65"/>
    <n v="714.95"/>
    <n v="7.0000000000000007E-2"/>
    <n v="765"/>
    <b v="1"/>
    <n v="1424.21"/>
    <n v="1424.21"/>
    <n v="21770"/>
    <n v="21770"/>
  </r>
  <r>
    <s v="__export__.sale_order_line_41"/>
    <x v="107"/>
    <x v="9"/>
    <x v="2"/>
    <x v="0"/>
    <x v="87"/>
    <s v="[BT2031P1] อ่างอาบน้ำสำหรับเด็กขอบจับสีฟ้า P1"/>
    <n v="320"/>
    <n v="3"/>
    <n v="65"/>
    <n v="714.95"/>
    <n v="7.0000000000000007E-2"/>
    <n v="765"/>
    <b v="1"/>
    <n v="1424.21"/>
    <n v="1424.21"/>
    <n v="21770"/>
    <n v="21770"/>
  </r>
  <r>
    <s v="__export__.sale_order_line_15"/>
    <x v="108"/>
    <x v="10"/>
    <x v="1"/>
    <x v="3"/>
    <x v="88"/>
    <s v="รถหัดเดินสำหรับเด็กFishสีฟ้า P1"/>
    <n v="2494.81"/>
    <n v="1"/>
    <m/>
    <n v="2331.6"/>
    <n v="7.0000000000000007E-2"/>
    <n v="2494.8000000000002"/>
    <m/>
    <n v="163.21"/>
    <n v="163.21"/>
    <n v="2494.81"/>
    <n v="2494.81"/>
  </r>
  <r>
    <s v="__export__.sale_order_line_13"/>
    <x v="109"/>
    <x v="10"/>
    <x v="1"/>
    <x v="3"/>
    <x v="89"/>
    <s v="รถหัดเดินสำหรับเด็กFishสีฟ้า P1"/>
    <n v="2494.81"/>
    <n v="1"/>
    <m/>
    <n v="2331.6"/>
    <n v="7.0000000000000007E-2"/>
    <n v="2494.8000000000002"/>
    <m/>
    <n v="337.66"/>
    <n v="337.66"/>
    <n v="5161.3999999999996"/>
    <n v="5161.3999999999996"/>
  </r>
  <r>
    <s v="__export__.sale_order_line_14"/>
    <x v="109"/>
    <x v="10"/>
    <x v="1"/>
    <x v="3"/>
    <x v="89"/>
    <s v="รถเข็นสำหรับเด็กMaxiสีฟ้า สีแดง P1"/>
    <n v="2666.59"/>
    <n v="1"/>
    <m/>
    <n v="2492.14"/>
    <n v="7.0000000000000007E-2"/>
    <n v="2666.6"/>
    <m/>
    <n v="337.66"/>
    <n v="337.66"/>
    <n v="5161.3999999999996"/>
    <n v="5161.3999999999996"/>
  </r>
  <r>
    <s v="__export__.sale_order_line_11"/>
    <x v="110"/>
    <x v="10"/>
    <x v="1"/>
    <x v="3"/>
    <x v="90"/>
    <s v="รถเข็นสำหรับเด็กMaxiสีฟ้า สีแดง P1"/>
    <n v="2666.59"/>
    <n v="1"/>
    <m/>
    <n v="2492.14"/>
    <n v="7.0000000000000007E-2"/>
    <n v="2666.6"/>
    <m/>
    <n v="275.67"/>
    <n v="275.67"/>
    <n v="4213.8100000000004"/>
    <n v="4213.8100000000004"/>
  </r>
  <r>
    <s v="__export__.sale_order_line_12"/>
    <x v="110"/>
    <x v="10"/>
    <x v="1"/>
    <x v="3"/>
    <x v="90"/>
    <s v="รถเข็นสำหรับเด็กMiniสีแดง สีฟ้า P1"/>
    <n v="1547.22"/>
    <n v="1"/>
    <m/>
    <n v="1446"/>
    <n v="7.0000000000000007E-2"/>
    <n v="1547.2"/>
    <m/>
    <n v="275.67"/>
    <n v="275.67"/>
    <n v="4213.8100000000004"/>
    <n v="4213.8100000000004"/>
  </r>
  <r>
    <s v="__export__.sale_order_line_10"/>
    <x v="111"/>
    <x v="10"/>
    <x v="1"/>
    <x v="3"/>
    <x v="91"/>
    <s v="MCแปรงล้างขวดนมแบบหมุนสีฟ้า สีเขียว 1 โหล"/>
    <n v="876.33"/>
    <n v="1"/>
    <m/>
    <n v="819"/>
    <n v="7.0000000000000007E-2"/>
    <n v="876.3"/>
    <m/>
    <n v="57.33"/>
    <n v="57.33"/>
    <n v="876.33"/>
    <n v="876.33"/>
  </r>
  <r>
    <s v="__export__.sale_order_line_8"/>
    <x v="112"/>
    <x v="10"/>
    <x v="0"/>
    <x v="3"/>
    <x v="92"/>
    <s v="ไมย์แคร์ แผ่นปิดดูดสิว เดย์ 6"/>
    <n v="710.95"/>
    <n v="41"/>
    <m/>
    <n v="27242.01"/>
    <n v="7.0000000000000007E-2"/>
    <n v="29149"/>
    <m/>
    <n v="2954.93"/>
    <n v="2954.93"/>
    <n v="45168.15"/>
    <n v="45168.15"/>
  </r>
  <r>
    <s v="__export__.sale_order_line_9"/>
    <x v="112"/>
    <x v="10"/>
    <x v="0"/>
    <x v="3"/>
    <x v="92"/>
    <s v="ไมย์แคร์ แผ่นปิดดูดสิว ไนท์ 6"/>
    <n v="800.96"/>
    <n v="20"/>
    <m/>
    <n v="14971.21"/>
    <n v="7.0000000000000007E-2"/>
    <n v="16019.2"/>
    <m/>
    <n v="2954.93"/>
    <n v="2954.93"/>
    <n v="45168.15"/>
    <n v="45168.15"/>
  </r>
  <r>
    <s v="__export__.sale_order_line_3"/>
    <x v="113"/>
    <x v="10"/>
    <x v="2"/>
    <x v="0"/>
    <x v="93"/>
    <s v="[WK3011P1] รถหัดเดินสำหรับเด็ก2in1สีฟ้า P1"/>
    <n v="970"/>
    <n v="2"/>
    <n v="220"/>
    <n v="1401.87"/>
    <n v="7.0000000000000007E-2"/>
    <n v="1500"/>
    <b v="1"/>
    <n v="556.07000000000005"/>
    <n v="556.07000000000005"/>
    <n v="8500"/>
    <n v="8500"/>
  </r>
  <r>
    <s v="__export__.sale_order_line_4"/>
    <x v="113"/>
    <x v="10"/>
    <x v="2"/>
    <x v="0"/>
    <x v="93"/>
    <s v="[WK3034P1] รถหัดเดินสำหรับเด็ก2in1สีเขียว P1"/>
    <n v="970"/>
    <n v="2"/>
    <n v="220"/>
    <n v="1401.87"/>
    <n v="7.0000000000000007E-2"/>
    <n v="1500"/>
    <b v="1"/>
    <n v="556.07000000000005"/>
    <n v="556.07000000000005"/>
    <n v="8500"/>
    <n v="8500"/>
  </r>
  <r>
    <s v="__export__.sale_order_line_5"/>
    <x v="113"/>
    <x v="10"/>
    <x v="2"/>
    <x v="0"/>
    <x v="93"/>
    <s v="[WK3026P1] รถหัดเดินสำหรับเด็ก2in1สีชมพู P1"/>
    <n v="970"/>
    <n v="2"/>
    <n v="220"/>
    <n v="1401.87"/>
    <n v="7.0000000000000007E-2"/>
    <n v="1500"/>
    <b v="1"/>
    <n v="556.07000000000005"/>
    <n v="556.07000000000005"/>
    <n v="8500"/>
    <n v="8500"/>
  </r>
  <r>
    <s v="__export__.sale_order_line_6"/>
    <x v="113"/>
    <x v="10"/>
    <x v="2"/>
    <x v="0"/>
    <x v="93"/>
    <s v="[WK3061P1] รถหัดเดินสำหรับเด็กDelux4in1สีฟ้า P1"/>
    <n v="1600"/>
    <n v="2"/>
    <n v="600"/>
    <n v="1869.16"/>
    <n v="7.0000000000000007E-2"/>
    <n v="2000"/>
    <b v="1"/>
    <n v="556.07000000000005"/>
    <n v="556.07000000000005"/>
    <n v="8500"/>
    <n v="8500"/>
  </r>
  <r>
    <s v="__export__.sale_order_line_7"/>
    <x v="113"/>
    <x v="10"/>
    <x v="2"/>
    <x v="0"/>
    <x v="93"/>
    <s v="[WK3076P1] รถหัดเดินสำหรับเด็กDelux4in1สีชมพู P1 "/>
    <n v="1600"/>
    <n v="2"/>
    <n v="600"/>
    <n v="1869.16"/>
    <n v="7.0000000000000007E-2"/>
    <n v="2000"/>
    <b v="1"/>
    <n v="556.07000000000005"/>
    <n v="556.07000000000005"/>
    <n v="8500"/>
    <n v="8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7:M17" firstHeaderRow="1" firstDataRow="2" firstDataCol="1" rowPageCount="1" colPageCount="1"/>
  <pivotFields count="18">
    <pivotField showAll="0"/>
    <pivotField axis="axisRow" showAll="0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Col" numFmtId="14" showAll="0">
      <items count="12"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Page" showAll="0">
      <items count="4">
        <item x="0"/>
        <item x="2"/>
        <item x="1"/>
        <item t="default"/>
      </items>
    </pivotField>
    <pivotField axis="axisRow" showAll="0">
      <items count="9">
        <item sd="0" x="4"/>
        <item sd="0" x="7"/>
        <item sd="0" x="5"/>
        <item sd="0" x="3"/>
        <item sd="0" x="0"/>
        <item sd="0" x="2"/>
        <item sd="0" x="6"/>
        <item sd="0" x="1"/>
        <item t="default"/>
      </items>
    </pivotField>
    <pivotField axis="axisRow" showAll="0">
      <items count="95">
        <item x="31"/>
        <item x="62"/>
        <item x="7"/>
        <item x="56"/>
        <item x="75"/>
        <item x="72"/>
        <item x="54"/>
        <item x="60"/>
        <item x="61"/>
        <item x="38"/>
        <item x="19"/>
        <item x="66"/>
        <item x="17"/>
        <item x="67"/>
        <item x="4"/>
        <item x="48"/>
        <item x="36"/>
        <item x="9"/>
        <item x="57"/>
        <item x="13"/>
        <item x="77"/>
        <item x="8"/>
        <item x="3"/>
        <item x="18"/>
        <item x="25"/>
        <item x="12"/>
        <item x="40"/>
        <item x="29"/>
        <item x="65"/>
        <item x="10"/>
        <item x="34"/>
        <item x="27"/>
        <item x="35"/>
        <item x="81"/>
        <item x="28"/>
        <item x="46"/>
        <item x="39"/>
        <item x="41"/>
        <item x="16"/>
        <item x="11"/>
        <item x="37"/>
        <item x="15"/>
        <item x="33"/>
        <item x="14"/>
        <item x="92"/>
        <item x="42"/>
        <item x="20"/>
        <item x="24"/>
        <item x="23"/>
        <item x="32"/>
        <item x="68"/>
        <item x="30"/>
        <item x="49"/>
        <item x="89"/>
        <item x="91"/>
        <item x="88"/>
        <item x="90"/>
        <item x="26"/>
        <item x="59"/>
        <item x="45"/>
        <item x="50"/>
        <item x="2"/>
        <item x="43"/>
        <item x="6"/>
        <item x="71"/>
        <item x="0"/>
        <item x="70"/>
        <item x="79"/>
        <item x="73"/>
        <item x="64"/>
        <item x="53"/>
        <item x="74"/>
        <item x="5"/>
        <item x="55"/>
        <item x="78"/>
        <item x="82"/>
        <item x="47"/>
        <item x="86"/>
        <item x="80"/>
        <item x="87"/>
        <item x="63"/>
        <item x="69"/>
        <item x="52"/>
        <item x="84"/>
        <item x="85"/>
        <item x="51"/>
        <item x="21"/>
        <item x="22"/>
        <item x="58"/>
        <item x="83"/>
        <item x="93"/>
        <item x="1"/>
        <item x="44"/>
        <item x="7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 defaultSubtotal="0"/>
    <pivotField showAll="0"/>
    <pivotField showAll="0"/>
    <pivotField showAll="0"/>
    <pivotField showAll="0"/>
    <pivotField showAll="0"/>
  </pivotFields>
  <rowFields count="3">
    <field x="4"/>
    <field x="5"/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2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1">
    <pageField fld="3" hier="-1"/>
  </pageFields>
  <dataFields count="1">
    <dataField name="Sum of SubTotal with Tax" fld="12" baseField="5" baseItem="68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sale.order.line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7"/>
  <sheetViews>
    <sheetView tabSelected="1" workbookViewId="0">
      <selection activeCell="B13" sqref="B13"/>
    </sheetView>
  </sheetViews>
  <sheetFormatPr defaultRowHeight="15" x14ac:dyDescent="0.25"/>
  <cols>
    <col min="1" max="1" width="23.5703125" customWidth="1"/>
    <col min="2" max="2" width="16.28515625" customWidth="1"/>
    <col min="3" max="4" width="10.7109375" customWidth="1"/>
    <col min="5" max="12" width="10.7109375" bestFit="1" customWidth="1"/>
    <col min="13" max="13" width="11.28515625" bestFit="1" customWidth="1"/>
  </cols>
  <sheetData>
    <row r="1" spans="1:13" x14ac:dyDescent="0.25">
      <c r="A1" t="s">
        <v>739</v>
      </c>
    </row>
    <row r="5" spans="1:13" x14ac:dyDescent="0.25">
      <c r="A5" s="2" t="s">
        <v>3</v>
      </c>
      <c r="B5" t="s">
        <v>736</v>
      </c>
    </row>
    <row r="7" spans="1:13" x14ac:dyDescent="0.25">
      <c r="A7" s="2" t="s">
        <v>741</v>
      </c>
      <c r="B7" s="2" t="s">
        <v>742</v>
      </c>
    </row>
    <row r="8" spans="1:13" x14ac:dyDescent="0.25">
      <c r="A8" s="2" t="s">
        <v>737</v>
      </c>
      <c r="B8" s="1">
        <v>41954</v>
      </c>
      <c r="C8" s="1">
        <v>41957</v>
      </c>
      <c r="D8" s="1">
        <v>41960</v>
      </c>
      <c r="E8" s="1">
        <v>41961</v>
      </c>
      <c r="F8" s="1">
        <v>41962</v>
      </c>
      <c r="G8" s="1">
        <v>41963</v>
      </c>
      <c r="H8" s="1">
        <v>41964</v>
      </c>
      <c r="I8" s="1">
        <v>41967</v>
      </c>
      <c r="J8" s="1">
        <v>41968</v>
      </c>
      <c r="K8" s="1">
        <v>41969</v>
      </c>
      <c r="L8" s="1">
        <v>41970</v>
      </c>
      <c r="M8" s="1" t="s">
        <v>738</v>
      </c>
    </row>
    <row r="9" spans="1:13" x14ac:dyDescent="0.25">
      <c r="A9" s="3" t="s">
        <v>201</v>
      </c>
      <c r="B9" s="4"/>
      <c r="C9" s="4"/>
      <c r="D9" s="4"/>
      <c r="E9" s="4"/>
      <c r="F9" s="4"/>
      <c r="G9" s="4"/>
      <c r="H9" s="4"/>
      <c r="I9" s="4"/>
      <c r="J9" s="4">
        <v>790</v>
      </c>
      <c r="K9" s="4"/>
      <c r="L9" s="4"/>
      <c r="M9" s="4">
        <v>790</v>
      </c>
    </row>
    <row r="10" spans="1:13" x14ac:dyDescent="0.25">
      <c r="A10" s="3" t="s">
        <v>511</v>
      </c>
      <c r="B10" s="4"/>
      <c r="C10" s="4">
        <v>3224.3999999999996</v>
      </c>
      <c r="D10" s="4">
        <v>6440</v>
      </c>
      <c r="E10" s="4"/>
      <c r="F10" s="4">
        <v>5995.1</v>
      </c>
      <c r="G10" s="4"/>
      <c r="H10" s="4"/>
      <c r="I10" s="4"/>
      <c r="J10" s="4"/>
      <c r="K10" s="4"/>
      <c r="L10" s="4"/>
      <c r="M10" s="4">
        <v>15659.5</v>
      </c>
    </row>
    <row r="11" spans="1:13" x14ac:dyDescent="0.25">
      <c r="A11" s="3" t="s">
        <v>238</v>
      </c>
      <c r="B11" s="4"/>
      <c r="C11" s="4"/>
      <c r="D11" s="4"/>
      <c r="E11" s="4"/>
      <c r="F11" s="4"/>
      <c r="G11" s="4"/>
      <c r="H11" s="4"/>
      <c r="I11" s="4"/>
      <c r="J11" s="4">
        <v>21600</v>
      </c>
      <c r="K11" s="4"/>
      <c r="L11" s="4"/>
      <c r="M11" s="4">
        <v>21600</v>
      </c>
    </row>
    <row r="12" spans="1:13" x14ac:dyDescent="0.25">
      <c r="A12" s="3" t="s">
        <v>118</v>
      </c>
      <c r="B12" s="4">
        <v>57914.5</v>
      </c>
      <c r="C12" s="4"/>
      <c r="D12" s="4"/>
      <c r="E12" s="4">
        <v>3507.4</v>
      </c>
      <c r="F12" s="4"/>
      <c r="G12" s="4"/>
      <c r="H12" s="4">
        <v>2314.9</v>
      </c>
      <c r="I12" s="4"/>
      <c r="J12" s="4">
        <v>121495.5</v>
      </c>
      <c r="K12" s="4">
        <v>53416.800000000003</v>
      </c>
      <c r="L12" s="4"/>
      <c r="M12" s="4">
        <v>238649.09999999998</v>
      </c>
    </row>
    <row r="13" spans="1:13" x14ac:dyDescent="0.25">
      <c r="A13" s="3" t="s">
        <v>20</v>
      </c>
      <c r="B13" s="4">
        <v>8500</v>
      </c>
      <c r="C13" s="4">
        <v>89860</v>
      </c>
      <c r="D13" s="4">
        <v>72955.7</v>
      </c>
      <c r="E13" s="4"/>
      <c r="F13" s="4">
        <v>421187.2</v>
      </c>
      <c r="G13" s="4">
        <v>28668.5</v>
      </c>
      <c r="H13" s="4">
        <v>109846.30000000002</v>
      </c>
      <c r="I13" s="4">
        <v>12914</v>
      </c>
      <c r="J13" s="4">
        <v>199601.2</v>
      </c>
      <c r="K13" s="4">
        <v>31250</v>
      </c>
      <c r="L13" s="4">
        <v>17390</v>
      </c>
      <c r="M13" s="4">
        <v>992172.90000000014</v>
      </c>
    </row>
    <row r="14" spans="1:13" x14ac:dyDescent="0.25">
      <c r="A14" s="3" t="s">
        <v>53</v>
      </c>
      <c r="B14" s="4"/>
      <c r="C14" s="4">
        <v>19260</v>
      </c>
      <c r="D14" s="4">
        <v>16950</v>
      </c>
      <c r="E14" s="4"/>
      <c r="F14" s="4"/>
      <c r="G14" s="4">
        <v>2700</v>
      </c>
      <c r="H14" s="4"/>
      <c r="I14" s="4">
        <v>21721.200000000001</v>
      </c>
      <c r="J14" s="4"/>
      <c r="K14" s="4">
        <v>18540</v>
      </c>
      <c r="L14" s="4">
        <v>17400</v>
      </c>
      <c r="M14" s="4">
        <v>96571.199999999997</v>
      </c>
    </row>
    <row r="15" spans="1:13" x14ac:dyDescent="0.25">
      <c r="A15" s="3" t="s">
        <v>369</v>
      </c>
      <c r="B15" s="4"/>
      <c r="C15" s="4"/>
      <c r="D15" s="4"/>
      <c r="E15" s="4"/>
      <c r="F15" s="4"/>
      <c r="G15" s="4">
        <v>4760</v>
      </c>
      <c r="H15" s="4"/>
      <c r="I15" s="4"/>
      <c r="J15" s="4"/>
      <c r="K15" s="4"/>
      <c r="L15" s="4"/>
      <c r="M15" s="4">
        <v>4760</v>
      </c>
    </row>
    <row r="16" spans="1:13" x14ac:dyDescent="0.25">
      <c r="A16" s="3" t="s">
        <v>34</v>
      </c>
      <c r="B16" s="4"/>
      <c r="C16" s="4"/>
      <c r="D16" s="4"/>
      <c r="E16" s="4"/>
      <c r="F16" s="4"/>
      <c r="G16" s="4"/>
      <c r="H16" s="4"/>
      <c r="I16" s="4">
        <v>1500</v>
      </c>
      <c r="J16" s="4"/>
      <c r="K16" s="4"/>
      <c r="L16" s="4">
        <v>6000</v>
      </c>
      <c r="M16" s="4">
        <v>7500</v>
      </c>
    </row>
    <row r="17" spans="1:13" x14ac:dyDescent="0.25">
      <c r="A17" s="3" t="s">
        <v>738</v>
      </c>
      <c r="B17" s="4">
        <v>66414.5</v>
      </c>
      <c r="C17" s="4">
        <v>112344.4</v>
      </c>
      <c r="D17" s="4">
        <v>96345.7</v>
      </c>
      <c r="E17" s="4">
        <v>3507.4</v>
      </c>
      <c r="F17" s="4">
        <v>427182.3</v>
      </c>
      <c r="G17" s="4">
        <v>36128.5</v>
      </c>
      <c r="H17" s="4">
        <v>112161.20000000001</v>
      </c>
      <c r="I17" s="4">
        <v>36135.199999999997</v>
      </c>
      <c r="J17" s="4">
        <v>343486.7</v>
      </c>
      <c r="K17" s="4">
        <v>103206.8</v>
      </c>
      <c r="L17" s="4">
        <v>40790</v>
      </c>
      <c r="M17" s="4">
        <v>1377702.7</v>
      </c>
    </row>
  </sheetData>
  <pageMargins left="0.7" right="0.7" top="0.75" bottom="0.75" header="0.3" footer="0.3"/>
  <pageSetup paperSize="9"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72"/>
  <sheetViews>
    <sheetView workbookViewId="0"/>
  </sheetViews>
  <sheetFormatPr defaultRowHeight="15" x14ac:dyDescent="0.25"/>
  <cols>
    <col min="1" max="1" width="30" bestFit="1" customWidth="1"/>
    <col min="2" max="2" width="32" bestFit="1" customWidth="1"/>
    <col min="3" max="3" width="21" bestFit="1" customWidth="1"/>
    <col min="4" max="4" width="10.42578125" bestFit="1" customWidth="1"/>
    <col min="5" max="5" width="18.140625" bestFit="1" customWidth="1"/>
    <col min="6" max="6" width="61.140625" bestFit="1" customWidth="1"/>
    <col min="7" max="7" width="77.7109375" bestFit="1" customWidth="1"/>
    <col min="8" max="8" width="9.5703125" bestFit="1" customWidth="1"/>
    <col min="9" max="9" width="8.7109375" bestFit="1" customWidth="1"/>
    <col min="10" max="10" width="16.42578125" bestFit="1" customWidth="1"/>
    <col min="11" max="11" width="10" bestFit="1" customWidth="1"/>
    <col min="12" max="12" width="14.140625" bestFit="1" customWidth="1"/>
    <col min="13" max="13" width="14.140625" customWidth="1"/>
    <col min="14" max="14" width="25.85546875" bestFit="1" customWidth="1"/>
    <col min="15" max="15" width="22" bestFit="1" customWidth="1"/>
    <col min="16" max="16" width="35.28515625" bestFit="1" customWidth="1"/>
    <col min="17" max="17" width="21.42578125" bestFit="1" customWidth="1"/>
    <col min="18" max="18" width="34.71093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740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</row>
    <row r="2" spans="1:18" x14ac:dyDescent="0.25">
      <c r="A2" t="s">
        <v>17</v>
      </c>
      <c r="B2" t="s">
        <v>18</v>
      </c>
      <c r="C2" s="1">
        <v>41970</v>
      </c>
      <c r="D2" t="s">
        <v>19</v>
      </c>
      <c r="E2" t="s">
        <v>20</v>
      </c>
      <c r="F2" t="s">
        <v>21</v>
      </c>
      <c r="G2" t="s">
        <v>22</v>
      </c>
      <c r="H2">
        <v>1390</v>
      </c>
      <c r="I2">
        <v>3</v>
      </c>
      <c r="J2">
        <v>290</v>
      </c>
      <c r="K2">
        <v>3084.11</v>
      </c>
      <c r="L2">
        <v>7.0000000000000007E-2</v>
      </c>
      <c r="M2">
        <f>ROUND(K2*(1+L2),1)</f>
        <v>3300</v>
      </c>
      <c r="O2">
        <v>431.78</v>
      </c>
      <c r="P2">
        <v>431.78</v>
      </c>
      <c r="Q2">
        <v>6600</v>
      </c>
      <c r="R2">
        <v>6600</v>
      </c>
    </row>
    <row r="3" spans="1:18" x14ac:dyDescent="0.25">
      <c r="A3" t="s">
        <v>23</v>
      </c>
      <c r="B3" t="s">
        <v>18</v>
      </c>
      <c r="C3" s="1">
        <v>41970</v>
      </c>
      <c r="D3" t="s">
        <v>19</v>
      </c>
      <c r="E3" t="s">
        <v>20</v>
      </c>
      <c r="F3" t="s">
        <v>21</v>
      </c>
      <c r="G3" t="s">
        <v>24</v>
      </c>
      <c r="H3">
        <v>1390</v>
      </c>
      <c r="I3">
        <v>3</v>
      </c>
      <c r="J3">
        <v>290</v>
      </c>
      <c r="K3">
        <v>3084.11</v>
      </c>
      <c r="L3">
        <v>7.0000000000000007E-2</v>
      </c>
      <c r="M3">
        <f t="shared" ref="M3:M67" si="0">ROUND(K3*(1+L3),1)</f>
        <v>3300</v>
      </c>
      <c r="O3">
        <v>431.78</v>
      </c>
      <c r="P3">
        <v>431.78</v>
      </c>
      <c r="Q3">
        <v>6600</v>
      </c>
      <c r="R3">
        <v>6600</v>
      </c>
    </row>
    <row r="4" spans="1:18" x14ac:dyDescent="0.25">
      <c r="A4" t="s">
        <v>25</v>
      </c>
      <c r="B4" t="s">
        <v>26</v>
      </c>
      <c r="C4" s="1">
        <v>41970</v>
      </c>
      <c r="D4" t="s">
        <v>19</v>
      </c>
      <c r="E4" t="s">
        <v>20</v>
      </c>
      <c r="F4" t="s">
        <v>21</v>
      </c>
      <c r="G4" t="s">
        <v>27</v>
      </c>
      <c r="H4">
        <v>1120</v>
      </c>
      <c r="I4">
        <v>1</v>
      </c>
      <c r="K4">
        <v>1046.73</v>
      </c>
      <c r="L4">
        <v>7.0000000000000007E-2</v>
      </c>
      <c r="M4">
        <f t="shared" si="0"/>
        <v>1120</v>
      </c>
      <c r="O4">
        <v>73.27</v>
      </c>
      <c r="P4">
        <v>73.27</v>
      </c>
      <c r="Q4">
        <v>1120</v>
      </c>
      <c r="R4">
        <v>1120</v>
      </c>
    </row>
    <row r="5" spans="1:18" x14ac:dyDescent="0.25">
      <c r="A5" t="s">
        <v>28</v>
      </c>
      <c r="B5" t="s">
        <v>29</v>
      </c>
      <c r="C5" s="1">
        <v>41970</v>
      </c>
      <c r="D5" t="s">
        <v>19</v>
      </c>
      <c r="E5" t="s">
        <v>20</v>
      </c>
      <c r="F5" t="s">
        <v>30</v>
      </c>
      <c r="G5" t="s">
        <v>31</v>
      </c>
      <c r="H5">
        <v>850</v>
      </c>
      <c r="I5">
        <v>1</v>
      </c>
      <c r="K5">
        <v>794.39</v>
      </c>
      <c r="L5">
        <v>7.0000000000000007E-2</v>
      </c>
      <c r="M5">
        <f t="shared" si="0"/>
        <v>850</v>
      </c>
      <c r="O5">
        <v>55.61</v>
      </c>
      <c r="P5">
        <v>55.61</v>
      </c>
      <c r="Q5">
        <v>850</v>
      </c>
      <c r="R5">
        <v>850</v>
      </c>
    </row>
    <row r="6" spans="1:18" x14ac:dyDescent="0.25">
      <c r="A6" t="s">
        <v>32</v>
      </c>
      <c r="B6" t="s">
        <v>33</v>
      </c>
      <c r="C6" s="1">
        <v>41970</v>
      </c>
      <c r="D6" t="s">
        <v>19</v>
      </c>
      <c r="E6" t="s">
        <v>34</v>
      </c>
      <c r="F6" t="s">
        <v>35</v>
      </c>
      <c r="G6" t="s">
        <v>36</v>
      </c>
      <c r="H6">
        <v>1400</v>
      </c>
      <c r="I6">
        <v>1</v>
      </c>
      <c r="K6">
        <v>1308.4100000000001</v>
      </c>
      <c r="L6">
        <v>7.0000000000000007E-2</v>
      </c>
      <c r="M6">
        <f t="shared" si="0"/>
        <v>1400</v>
      </c>
      <c r="O6">
        <v>153.74</v>
      </c>
      <c r="P6">
        <v>153.74</v>
      </c>
      <c r="Q6">
        <v>2350</v>
      </c>
      <c r="R6">
        <v>2350</v>
      </c>
    </row>
    <row r="7" spans="1:18" x14ac:dyDescent="0.25">
      <c r="A7" t="s">
        <v>37</v>
      </c>
      <c r="B7" t="s">
        <v>33</v>
      </c>
      <c r="C7" s="1">
        <v>41970</v>
      </c>
      <c r="D7" t="s">
        <v>19</v>
      </c>
      <c r="E7" t="s">
        <v>34</v>
      </c>
      <c r="F7" t="s">
        <v>35</v>
      </c>
      <c r="G7" t="s">
        <v>38</v>
      </c>
      <c r="H7">
        <v>950</v>
      </c>
      <c r="I7">
        <v>1</v>
      </c>
      <c r="K7">
        <v>887.85</v>
      </c>
      <c r="L7">
        <v>7.0000000000000007E-2</v>
      </c>
      <c r="M7">
        <f t="shared" si="0"/>
        <v>950</v>
      </c>
      <c r="O7">
        <v>153.74</v>
      </c>
      <c r="P7">
        <v>153.74</v>
      </c>
      <c r="Q7">
        <v>2350</v>
      </c>
      <c r="R7">
        <v>2350</v>
      </c>
    </row>
    <row r="8" spans="1:18" x14ac:dyDescent="0.25">
      <c r="A8" t="s">
        <v>39</v>
      </c>
      <c r="B8" t="s">
        <v>40</v>
      </c>
      <c r="C8" s="1">
        <v>41970</v>
      </c>
      <c r="D8" t="s">
        <v>19</v>
      </c>
      <c r="E8" t="s">
        <v>34</v>
      </c>
      <c r="F8" t="s">
        <v>41</v>
      </c>
      <c r="G8" t="s">
        <v>42</v>
      </c>
      <c r="H8">
        <v>1180</v>
      </c>
      <c r="I8">
        <v>1</v>
      </c>
      <c r="J8">
        <v>30</v>
      </c>
      <c r="K8">
        <v>1074.77</v>
      </c>
      <c r="L8">
        <v>7.0000000000000007E-2</v>
      </c>
      <c r="M8">
        <f t="shared" si="0"/>
        <v>1150</v>
      </c>
      <c r="O8">
        <v>75.23</v>
      </c>
      <c r="P8">
        <v>75.23</v>
      </c>
      <c r="Q8">
        <v>1150</v>
      </c>
      <c r="R8">
        <v>1150</v>
      </c>
    </row>
    <row r="9" spans="1:18" x14ac:dyDescent="0.25">
      <c r="A9" t="s">
        <v>43</v>
      </c>
      <c r="B9" t="s">
        <v>44</v>
      </c>
      <c r="C9" s="1">
        <v>41970</v>
      </c>
      <c r="D9" t="s">
        <v>19</v>
      </c>
      <c r="E9" t="s">
        <v>34</v>
      </c>
      <c r="F9" t="s">
        <v>45</v>
      </c>
      <c r="G9" t="s">
        <v>46</v>
      </c>
      <c r="H9">
        <v>1740</v>
      </c>
      <c r="I9">
        <v>1</v>
      </c>
      <c r="J9">
        <v>740</v>
      </c>
      <c r="K9">
        <v>934.58</v>
      </c>
      <c r="L9">
        <v>7.0000000000000007E-2</v>
      </c>
      <c r="M9">
        <f t="shared" si="0"/>
        <v>1000</v>
      </c>
      <c r="O9">
        <v>65.42</v>
      </c>
      <c r="P9">
        <v>65.42</v>
      </c>
      <c r="Q9">
        <v>1000</v>
      </c>
      <c r="R9">
        <v>1000</v>
      </c>
    </row>
    <row r="10" spans="1:18" x14ac:dyDescent="0.25">
      <c r="A10" t="s">
        <v>47</v>
      </c>
      <c r="B10" t="s">
        <v>48</v>
      </c>
      <c r="C10" s="1">
        <v>41970</v>
      </c>
      <c r="D10" t="s">
        <v>19</v>
      </c>
      <c r="E10" t="s">
        <v>34</v>
      </c>
      <c r="F10" t="s">
        <v>45</v>
      </c>
      <c r="G10" t="s">
        <v>46</v>
      </c>
      <c r="H10">
        <v>1740</v>
      </c>
      <c r="I10">
        <v>1</v>
      </c>
      <c r="J10">
        <v>740</v>
      </c>
      <c r="K10">
        <v>934.58</v>
      </c>
      <c r="L10">
        <v>7.0000000000000007E-2</v>
      </c>
      <c r="M10">
        <f t="shared" si="0"/>
        <v>1000</v>
      </c>
      <c r="O10">
        <v>98.13</v>
      </c>
      <c r="P10">
        <v>98.13</v>
      </c>
      <c r="Q10">
        <v>1500</v>
      </c>
      <c r="R10">
        <v>1500</v>
      </c>
    </row>
    <row r="11" spans="1:18" x14ac:dyDescent="0.25">
      <c r="A11" t="s">
        <v>49</v>
      </c>
      <c r="B11" t="s">
        <v>48</v>
      </c>
      <c r="C11" s="1">
        <v>41970</v>
      </c>
      <c r="D11" t="s">
        <v>19</v>
      </c>
      <c r="E11" t="s">
        <v>34</v>
      </c>
      <c r="F11" t="s">
        <v>45</v>
      </c>
      <c r="G11" t="s">
        <v>50</v>
      </c>
      <c r="H11">
        <v>550</v>
      </c>
      <c r="I11">
        <v>1</v>
      </c>
      <c r="J11">
        <v>50</v>
      </c>
      <c r="K11">
        <v>467.29</v>
      </c>
      <c r="L11">
        <v>7.0000000000000007E-2</v>
      </c>
      <c r="M11">
        <f t="shared" si="0"/>
        <v>500</v>
      </c>
      <c r="O11">
        <v>98.13</v>
      </c>
      <c r="P11">
        <v>98.13</v>
      </c>
      <c r="Q11">
        <v>1500</v>
      </c>
      <c r="R11">
        <v>1500</v>
      </c>
    </row>
    <row r="12" spans="1:18" x14ac:dyDescent="0.25">
      <c r="A12" t="s">
        <v>51</v>
      </c>
      <c r="B12" t="s">
        <v>52</v>
      </c>
      <c r="C12" s="1">
        <v>41970</v>
      </c>
      <c r="D12" t="s">
        <v>19</v>
      </c>
      <c r="E12" t="s">
        <v>53</v>
      </c>
      <c r="F12" t="s">
        <v>54</v>
      </c>
      <c r="G12" t="s">
        <v>55</v>
      </c>
      <c r="H12">
        <v>900</v>
      </c>
      <c r="I12">
        <v>4</v>
      </c>
      <c r="J12">
        <v>300</v>
      </c>
      <c r="K12">
        <v>2242.9899999999998</v>
      </c>
      <c r="L12">
        <v>7.0000000000000007E-2</v>
      </c>
      <c r="M12">
        <f t="shared" si="0"/>
        <v>2400</v>
      </c>
      <c r="O12">
        <v>157.01</v>
      </c>
      <c r="P12">
        <v>157.01</v>
      </c>
      <c r="Q12">
        <v>2400</v>
      </c>
      <c r="R12">
        <v>2400</v>
      </c>
    </row>
    <row r="13" spans="1:18" x14ac:dyDescent="0.25">
      <c r="A13" t="s">
        <v>56</v>
      </c>
      <c r="B13" t="s">
        <v>57</v>
      </c>
      <c r="C13" s="1">
        <v>41970</v>
      </c>
      <c r="D13" t="s">
        <v>58</v>
      </c>
      <c r="E13" t="s">
        <v>53</v>
      </c>
      <c r="F13" t="s">
        <v>59</v>
      </c>
      <c r="G13" t="s">
        <v>60</v>
      </c>
      <c r="H13">
        <v>320</v>
      </c>
      <c r="I13">
        <v>30</v>
      </c>
      <c r="J13">
        <v>70</v>
      </c>
      <c r="K13">
        <v>7009.35</v>
      </c>
      <c r="L13">
        <v>7.0000000000000007E-2</v>
      </c>
      <c r="M13">
        <f t="shared" si="0"/>
        <v>7500</v>
      </c>
      <c r="O13">
        <v>981.3</v>
      </c>
      <c r="P13">
        <v>981.3</v>
      </c>
      <c r="Q13">
        <v>15000</v>
      </c>
      <c r="R13">
        <v>15000</v>
      </c>
    </row>
    <row r="14" spans="1:18" x14ac:dyDescent="0.25">
      <c r="A14" t="s">
        <v>61</v>
      </c>
      <c r="B14" t="s">
        <v>57</v>
      </c>
      <c r="C14" s="1">
        <v>41970</v>
      </c>
      <c r="D14" t="s">
        <v>58</v>
      </c>
      <c r="E14" t="s">
        <v>53</v>
      </c>
      <c r="F14" t="s">
        <v>59</v>
      </c>
      <c r="G14" t="s">
        <v>62</v>
      </c>
      <c r="H14">
        <v>320</v>
      </c>
      <c r="I14">
        <v>30</v>
      </c>
      <c r="J14">
        <v>70</v>
      </c>
      <c r="K14">
        <v>7009.35</v>
      </c>
      <c r="L14">
        <v>7.0000000000000007E-2</v>
      </c>
      <c r="M14">
        <f t="shared" si="0"/>
        <v>7500</v>
      </c>
      <c r="O14">
        <v>981.3</v>
      </c>
      <c r="P14">
        <v>981.3</v>
      </c>
      <c r="Q14">
        <v>15000</v>
      </c>
      <c r="R14">
        <v>15000</v>
      </c>
    </row>
    <row r="15" spans="1:18" x14ac:dyDescent="0.25">
      <c r="A15" t="s">
        <v>63</v>
      </c>
      <c r="B15" t="s">
        <v>64</v>
      </c>
      <c r="C15" s="1">
        <v>41970</v>
      </c>
      <c r="D15" t="s">
        <v>19</v>
      </c>
      <c r="E15" t="s">
        <v>20</v>
      </c>
      <c r="F15" t="s">
        <v>65</v>
      </c>
      <c r="G15" t="s">
        <v>31</v>
      </c>
      <c r="H15">
        <v>830</v>
      </c>
      <c r="I15">
        <v>1</v>
      </c>
      <c r="J15">
        <v>830</v>
      </c>
      <c r="L15">
        <v>7.0000000000000007E-2</v>
      </c>
      <c r="M15">
        <f t="shared" si="0"/>
        <v>0</v>
      </c>
    </row>
    <row r="16" spans="1:18" x14ac:dyDescent="0.25">
      <c r="A16" t="s">
        <v>66</v>
      </c>
      <c r="B16" t="s">
        <v>67</v>
      </c>
      <c r="C16" s="1">
        <v>41970</v>
      </c>
      <c r="D16" t="s">
        <v>19</v>
      </c>
      <c r="E16" t="s">
        <v>20</v>
      </c>
      <c r="F16" t="s">
        <v>68</v>
      </c>
      <c r="G16" t="s">
        <v>31</v>
      </c>
      <c r="H16">
        <v>970</v>
      </c>
      <c r="I16">
        <v>1</v>
      </c>
      <c r="K16">
        <v>906.54</v>
      </c>
      <c r="L16">
        <v>7.0000000000000007E-2</v>
      </c>
      <c r="M16">
        <f t="shared" si="0"/>
        <v>970</v>
      </c>
      <c r="O16">
        <v>63.46</v>
      </c>
      <c r="P16">
        <v>63.46</v>
      </c>
      <c r="Q16">
        <v>970</v>
      </c>
      <c r="R16">
        <v>970</v>
      </c>
    </row>
    <row r="17" spans="1:18" x14ac:dyDescent="0.25">
      <c r="A17" t="s">
        <v>69</v>
      </c>
      <c r="B17" t="s">
        <v>70</v>
      </c>
      <c r="C17" s="1">
        <v>41970</v>
      </c>
      <c r="D17" t="s">
        <v>19</v>
      </c>
      <c r="E17" t="s">
        <v>20</v>
      </c>
      <c r="F17" t="s">
        <v>71</v>
      </c>
      <c r="G17" t="s">
        <v>72</v>
      </c>
      <c r="H17">
        <v>1990</v>
      </c>
      <c r="I17">
        <v>1</v>
      </c>
      <c r="K17">
        <v>1859.81</v>
      </c>
      <c r="L17">
        <v>7.0000000000000007E-2</v>
      </c>
      <c r="M17">
        <f t="shared" si="0"/>
        <v>1990</v>
      </c>
      <c r="O17">
        <v>130.19</v>
      </c>
      <c r="P17">
        <v>130.19</v>
      </c>
      <c r="Q17">
        <v>1990</v>
      </c>
      <c r="R17">
        <v>1990</v>
      </c>
    </row>
    <row r="18" spans="1:18" x14ac:dyDescent="0.25">
      <c r="A18" t="s">
        <v>73</v>
      </c>
      <c r="B18" t="s">
        <v>70</v>
      </c>
      <c r="C18" s="1">
        <v>41970</v>
      </c>
      <c r="D18" t="s">
        <v>19</v>
      </c>
      <c r="E18" t="s">
        <v>20</v>
      </c>
      <c r="F18" t="s">
        <v>71</v>
      </c>
      <c r="G18" t="s">
        <v>74</v>
      </c>
      <c r="H18">
        <v>480</v>
      </c>
      <c r="I18">
        <v>1</v>
      </c>
      <c r="J18">
        <v>480</v>
      </c>
      <c r="L18">
        <v>7.0000000000000007E-2</v>
      </c>
      <c r="M18">
        <f t="shared" si="0"/>
        <v>0</v>
      </c>
      <c r="O18">
        <v>130.19</v>
      </c>
      <c r="P18">
        <v>130.19</v>
      </c>
      <c r="Q18">
        <v>1990</v>
      </c>
      <c r="R18">
        <v>1990</v>
      </c>
    </row>
    <row r="19" spans="1:18" x14ac:dyDescent="0.25">
      <c r="A19" t="s">
        <v>75</v>
      </c>
      <c r="B19" t="s">
        <v>76</v>
      </c>
      <c r="C19" s="1">
        <v>41970</v>
      </c>
      <c r="D19" t="s">
        <v>19</v>
      </c>
      <c r="E19" t="s">
        <v>20</v>
      </c>
      <c r="F19" t="s">
        <v>77</v>
      </c>
      <c r="G19" t="s">
        <v>78</v>
      </c>
      <c r="H19">
        <v>2590</v>
      </c>
      <c r="I19">
        <v>1</v>
      </c>
      <c r="K19">
        <v>2420.56</v>
      </c>
      <c r="L19">
        <v>7.0000000000000007E-2</v>
      </c>
      <c r="M19">
        <f>ROUND(K19*(1+L19),1)</f>
        <v>2590</v>
      </c>
      <c r="O19">
        <v>169.44</v>
      </c>
      <c r="P19">
        <v>169.44</v>
      </c>
      <c r="Q19">
        <v>2590</v>
      </c>
      <c r="R19">
        <v>2590</v>
      </c>
    </row>
    <row r="20" spans="1:18" x14ac:dyDescent="0.25">
      <c r="A20" t="s">
        <v>79</v>
      </c>
      <c r="B20" t="s">
        <v>80</v>
      </c>
      <c r="C20" s="1">
        <v>41970</v>
      </c>
      <c r="D20" t="s">
        <v>19</v>
      </c>
      <c r="E20" t="s">
        <v>20</v>
      </c>
      <c r="F20" t="s">
        <v>81</v>
      </c>
      <c r="G20" t="s">
        <v>82</v>
      </c>
      <c r="H20">
        <v>990</v>
      </c>
      <c r="I20">
        <v>1</v>
      </c>
      <c r="K20">
        <v>925.23</v>
      </c>
      <c r="L20">
        <v>7.0000000000000007E-2</v>
      </c>
      <c r="M20">
        <f t="shared" si="0"/>
        <v>990</v>
      </c>
      <c r="O20">
        <v>64.77</v>
      </c>
      <c r="P20">
        <v>64.77</v>
      </c>
      <c r="Q20">
        <v>990</v>
      </c>
      <c r="R20">
        <v>990</v>
      </c>
    </row>
    <row r="21" spans="1:18" x14ac:dyDescent="0.25">
      <c r="A21" t="s">
        <v>83</v>
      </c>
      <c r="B21" t="s">
        <v>84</v>
      </c>
      <c r="C21" s="1">
        <v>41970</v>
      </c>
      <c r="D21" t="s">
        <v>19</v>
      </c>
      <c r="E21" t="s">
        <v>20</v>
      </c>
      <c r="F21" t="s">
        <v>85</v>
      </c>
      <c r="G21" t="s">
        <v>86</v>
      </c>
      <c r="H21">
        <v>145</v>
      </c>
      <c r="I21">
        <v>2</v>
      </c>
      <c r="K21">
        <v>271.02999999999997</v>
      </c>
      <c r="L21">
        <v>7.0000000000000007E-2</v>
      </c>
      <c r="M21">
        <f t="shared" si="0"/>
        <v>290</v>
      </c>
      <c r="O21">
        <v>18.97</v>
      </c>
      <c r="P21">
        <v>18.97</v>
      </c>
      <c r="Q21">
        <v>290</v>
      </c>
      <c r="R21">
        <v>290</v>
      </c>
    </row>
    <row r="22" spans="1:18" x14ac:dyDescent="0.25">
      <c r="A22" t="s">
        <v>87</v>
      </c>
      <c r="B22" t="s">
        <v>88</v>
      </c>
      <c r="C22" s="1">
        <v>41970</v>
      </c>
      <c r="D22" t="s">
        <v>19</v>
      </c>
      <c r="E22" t="s">
        <v>20</v>
      </c>
      <c r="F22" t="s">
        <v>89</v>
      </c>
      <c r="G22" t="s">
        <v>90</v>
      </c>
      <c r="H22">
        <v>1990</v>
      </c>
      <c r="I22">
        <v>1</v>
      </c>
      <c r="K22">
        <v>1859.81</v>
      </c>
      <c r="L22">
        <v>7.0000000000000007E-2</v>
      </c>
      <c r="M22">
        <f t="shared" si="0"/>
        <v>1990</v>
      </c>
      <c r="O22">
        <v>130.19</v>
      </c>
      <c r="P22">
        <v>130.19</v>
      </c>
      <c r="Q22">
        <v>1990</v>
      </c>
      <c r="R22">
        <v>1990</v>
      </c>
    </row>
    <row r="23" spans="1:18" x14ac:dyDescent="0.25">
      <c r="A23" t="s">
        <v>91</v>
      </c>
      <c r="B23" t="s">
        <v>92</v>
      </c>
      <c r="C23" s="1">
        <v>41969</v>
      </c>
      <c r="D23" t="s">
        <v>93</v>
      </c>
      <c r="E23" t="s">
        <v>20</v>
      </c>
      <c r="F23" t="s">
        <v>94</v>
      </c>
      <c r="G23" t="s">
        <v>62</v>
      </c>
      <c r="H23">
        <v>390</v>
      </c>
      <c r="I23">
        <v>1</v>
      </c>
      <c r="K23">
        <v>364.49</v>
      </c>
      <c r="L23">
        <v>7.0000000000000007E-2</v>
      </c>
      <c r="M23">
        <f t="shared" si="0"/>
        <v>390</v>
      </c>
      <c r="N23" t="b">
        <v>1</v>
      </c>
      <c r="O23">
        <v>25.51</v>
      </c>
      <c r="P23">
        <v>25.51</v>
      </c>
      <c r="Q23">
        <v>390</v>
      </c>
      <c r="R23">
        <v>390</v>
      </c>
    </row>
    <row r="24" spans="1:18" x14ac:dyDescent="0.25">
      <c r="A24" t="s">
        <v>95</v>
      </c>
      <c r="B24" t="s">
        <v>96</v>
      </c>
      <c r="C24" s="1">
        <v>41969</v>
      </c>
      <c r="D24" t="s">
        <v>93</v>
      </c>
      <c r="E24" t="s">
        <v>20</v>
      </c>
      <c r="F24" t="s">
        <v>97</v>
      </c>
      <c r="G24" t="s">
        <v>62</v>
      </c>
      <c r="H24">
        <v>790</v>
      </c>
      <c r="I24">
        <v>1</v>
      </c>
      <c r="K24">
        <v>738.32</v>
      </c>
      <c r="L24">
        <v>7.0000000000000007E-2</v>
      </c>
      <c r="M24">
        <f t="shared" si="0"/>
        <v>790</v>
      </c>
      <c r="N24" t="b">
        <v>1</v>
      </c>
      <c r="O24">
        <v>51.68</v>
      </c>
      <c r="P24">
        <v>51.68</v>
      </c>
      <c r="Q24">
        <v>790</v>
      </c>
      <c r="R24">
        <v>790</v>
      </c>
    </row>
    <row r="25" spans="1:18" x14ac:dyDescent="0.25">
      <c r="A25" t="s">
        <v>98</v>
      </c>
      <c r="B25" t="s">
        <v>96</v>
      </c>
      <c r="C25" s="1">
        <v>41969</v>
      </c>
      <c r="D25" t="s">
        <v>93</v>
      </c>
      <c r="E25" t="s">
        <v>20</v>
      </c>
      <c r="F25" t="s">
        <v>97</v>
      </c>
      <c r="G25" t="s">
        <v>99</v>
      </c>
      <c r="H25">
        <v>220</v>
      </c>
      <c r="I25">
        <v>1</v>
      </c>
      <c r="J25">
        <v>220</v>
      </c>
      <c r="L25">
        <v>7.0000000000000007E-2</v>
      </c>
      <c r="M25">
        <f t="shared" si="0"/>
        <v>0</v>
      </c>
      <c r="N25" t="b">
        <v>1</v>
      </c>
      <c r="O25">
        <v>51.68</v>
      </c>
      <c r="P25">
        <v>51.68</v>
      </c>
      <c r="Q25">
        <v>790</v>
      </c>
      <c r="R25">
        <v>790</v>
      </c>
    </row>
    <row r="26" spans="1:18" x14ac:dyDescent="0.25">
      <c r="A26" t="s">
        <v>100</v>
      </c>
      <c r="B26" t="s">
        <v>101</v>
      </c>
      <c r="C26" s="1">
        <v>41969</v>
      </c>
      <c r="D26" t="s">
        <v>93</v>
      </c>
      <c r="E26" t="s">
        <v>20</v>
      </c>
      <c r="F26" t="s">
        <v>102</v>
      </c>
      <c r="G26" t="s">
        <v>60</v>
      </c>
      <c r="H26">
        <v>790</v>
      </c>
      <c r="I26">
        <v>1</v>
      </c>
      <c r="K26">
        <v>738.32</v>
      </c>
      <c r="L26">
        <v>7.0000000000000007E-2</v>
      </c>
      <c r="M26">
        <f t="shared" si="0"/>
        <v>790</v>
      </c>
      <c r="N26" t="b">
        <v>1</v>
      </c>
      <c r="O26">
        <v>51.68</v>
      </c>
      <c r="P26">
        <v>51.68</v>
      </c>
      <c r="Q26">
        <v>790</v>
      </c>
      <c r="R26">
        <v>790</v>
      </c>
    </row>
    <row r="27" spans="1:18" x14ac:dyDescent="0.25">
      <c r="A27" t="s">
        <v>103</v>
      </c>
      <c r="B27" t="s">
        <v>101</v>
      </c>
      <c r="C27" s="1">
        <v>41969</v>
      </c>
      <c r="D27" t="s">
        <v>93</v>
      </c>
      <c r="E27" t="s">
        <v>20</v>
      </c>
      <c r="F27" t="s">
        <v>102</v>
      </c>
      <c r="G27" t="s">
        <v>99</v>
      </c>
      <c r="H27">
        <v>320</v>
      </c>
      <c r="I27">
        <v>1</v>
      </c>
      <c r="J27">
        <v>320</v>
      </c>
      <c r="L27">
        <v>7.0000000000000007E-2</v>
      </c>
      <c r="M27">
        <f t="shared" si="0"/>
        <v>0</v>
      </c>
      <c r="N27" t="b">
        <v>1</v>
      </c>
      <c r="O27">
        <v>51.68</v>
      </c>
      <c r="P27">
        <v>51.68</v>
      </c>
      <c r="Q27">
        <v>790</v>
      </c>
      <c r="R27">
        <v>790</v>
      </c>
    </row>
    <row r="28" spans="1:18" x14ac:dyDescent="0.25">
      <c r="A28" t="s">
        <v>104</v>
      </c>
      <c r="B28" t="s">
        <v>105</v>
      </c>
      <c r="C28" s="1">
        <v>41969</v>
      </c>
      <c r="D28" t="s">
        <v>93</v>
      </c>
      <c r="E28" t="s">
        <v>20</v>
      </c>
      <c r="F28" t="s">
        <v>106</v>
      </c>
      <c r="G28" t="s">
        <v>107</v>
      </c>
      <c r="H28">
        <v>1520</v>
      </c>
      <c r="I28">
        <v>1</v>
      </c>
      <c r="K28">
        <v>1420.56</v>
      </c>
      <c r="L28">
        <v>7.0000000000000007E-2</v>
      </c>
      <c r="M28">
        <f t="shared" si="0"/>
        <v>1520</v>
      </c>
      <c r="N28" t="b">
        <v>1</v>
      </c>
      <c r="O28">
        <v>99.44</v>
      </c>
      <c r="P28">
        <v>99.44</v>
      </c>
      <c r="Q28">
        <v>1520</v>
      </c>
      <c r="R28">
        <v>1520</v>
      </c>
    </row>
    <row r="29" spans="1:18" x14ac:dyDescent="0.25">
      <c r="A29" t="s">
        <v>108</v>
      </c>
      <c r="B29" t="s">
        <v>109</v>
      </c>
      <c r="C29" s="1">
        <v>41969</v>
      </c>
      <c r="D29" t="s">
        <v>93</v>
      </c>
      <c r="E29" t="s">
        <v>20</v>
      </c>
      <c r="F29" t="s">
        <v>110</v>
      </c>
      <c r="G29" t="s">
        <v>111</v>
      </c>
      <c r="H29">
        <v>2290</v>
      </c>
      <c r="I29">
        <v>1</v>
      </c>
      <c r="J29">
        <v>300</v>
      </c>
      <c r="K29">
        <v>1859.81</v>
      </c>
      <c r="L29">
        <v>7.0000000000000007E-2</v>
      </c>
      <c r="M29">
        <f t="shared" si="0"/>
        <v>1990</v>
      </c>
      <c r="N29" t="b">
        <v>1</v>
      </c>
      <c r="O29">
        <v>130.19</v>
      </c>
      <c r="P29">
        <v>130.19</v>
      </c>
      <c r="Q29">
        <v>1990</v>
      </c>
      <c r="R29">
        <v>1990</v>
      </c>
    </row>
    <row r="30" spans="1:18" x14ac:dyDescent="0.25">
      <c r="A30" t="s">
        <v>112</v>
      </c>
      <c r="B30" t="s">
        <v>113</v>
      </c>
      <c r="C30" s="1">
        <v>41969</v>
      </c>
      <c r="D30" t="s">
        <v>93</v>
      </c>
      <c r="E30" t="s">
        <v>20</v>
      </c>
      <c r="F30" t="s">
        <v>114</v>
      </c>
      <c r="G30" t="s">
        <v>115</v>
      </c>
      <c r="H30">
        <v>690</v>
      </c>
      <c r="I30">
        <v>1</v>
      </c>
      <c r="K30">
        <v>644.86</v>
      </c>
      <c r="L30">
        <v>7.0000000000000007E-2</v>
      </c>
      <c r="M30">
        <f t="shared" si="0"/>
        <v>690</v>
      </c>
      <c r="N30" t="b">
        <v>1</v>
      </c>
      <c r="O30">
        <v>45.14</v>
      </c>
      <c r="P30">
        <v>45.14</v>
      </c>
      <c r="Q30">
        <v>690</v>
      </c>
      <c r="R30">
        <v>690</v>
      </c>
    </row>
    <row r="31" spans="1:18" x14ac:dyDescent="0.25">
      <c r="A31" t="s">
        <v>116</v>
      </c>
      <c r="B31" t="s">
        <v>117</v>
      </c>
      <c r="C31" s="1">
        <v>41969</v>
      </c>
      <c r="D31" t="s">
        <v>19</v>
      </c>
      <c r="E31" t="s">
        <v>118</v>
      </c>
      <c r="F31" t="s">
        <v>119</v>
      </c>
      <c r="G31" t="s">
        <v>120</v>
      </c>
      <c r="H31">
        <v>3561.12</v>
      </c>
      <c r="I31">
        <v>15</v>
      </c>
      <c r="K31">
        <v>49922.239999999998</v>
      </c>
      <c r="L31">
        <v>7.0000000000000007E-2</v>
      </c>
      <c r="M31">
        <f t="shared" si="0"/>
        <v>53416.800000000003</v>
      </c>
      <c r="O31">
        <v>3494.56</v>
      </c>
      <c r="P31">
        <v>3494.56</v>
      </c>
      <c r="Q31">
        <v>53416.800000000003</v>
      </c>
      <c r="R31">
        <v>53416.800000000003</v>
      </c>
    </row>
    <row r="32" spans="1:18" x14ac:dyDescent="0.25">
      <c r="A32" t="s">
        <v>121</v>
      </c>
      <c r="B32" t="s">
        <v>122</v>
      </c>
      <c r="C32" s="1">
        <v>41969</v>
      </c>
      <c r="D32" t="s">
        <v>93</v>
      </c>
      <c r="E32" t="s">
        <v>53</v>
      </c>
      <c r="F32" t="s">
        <v>59</v>
      </c>
      <c r="G32" t="s">
        <v>123</v>
      </c>
      <c r="H32">
        <v>1390</v>
      </c>
      <c r="I32">
        <v>5</v>
      </c>
      <c r="J32">
        <v>490</v>
      </c>
      <c r="K32">
        <v>4205.6099999999997</v>
      </c>
      <c r="L32">
        <v>7.0000000000000007E-2</v>
      </c>
      <c r="M32">
        <f t="shared" si="0"/>
        <v>4500</v>
      </c>
      <c r="N32" t="b">
        <v>1</v>
      </c>
      <c r="O32">
        <v>1212.8900000000001</v>
      </c>
      <c r="P32">
        <v>1212.8900000000001</v>
      </c>
      <c r="Q32">
        <v>18540</v>
      </c>
      <c r="R32">
        <v>18540</v>
      </c>
    </row>
    <row r="33" spans="1:18" x14ac:dyDescent="0.25">
      <c r="A33" t="s">
        <v>124</v>
      </c>
      <c r="B33" t="s">
        <v>122</v>
      </c>
      <c r="C33" s="1">
        <v>41969</v>
      </c>
      <c r="D33" t="s">
        <v>93</v>
      </c>
      <c r="E33" t="s">
        <v>53</v>
      </c>
      <c r="F33" t="s">
        <v>59</v>
      </c>
      <c r="G33" t="s">
        <v>125</v>
      </c>
      <c r="H33">
        <v>1390</v>
      </c>
      <c r="I33">
        <v>3</v>
      </c>
      <c r="J33">
        <v>490</v>
      </c>
      <c r="K33">
        <v>2523.36</v>
      </c>
      <c r="L33">
        <v>7.0000000000000007E-2</v>
      </c>
      <c r="M33">
        <f t="shared" si="0"/>
        <v>2700</v>
      </c>
      <c r="N33" t="b">
        <v>1</v>
      </c>
      <c r="O33">
        <v>1212.8900000000001</v>
      </c>
      <c r="P33">
        <v>1212.8900000000001</v>
      </c>
      <c r="Q33">
        <v>18540</v>
      </c>
      <c r="R33">
        <v>18540</v>
      </c>
    </row>
    <row r="34" spans="1:18" x14ac:dyDescent="0.25">
      <c r="A34" t="s">
        <v>126</v>
      </c>
      <c r="B34" t="s">
        <v>122</v>
      </c>
      <c r="C34" s="1">
        <v>41969</v>
      </c>
      <c r="D34" t="s">
        <v>93</v>
      </c>
      <c r="E34" t="s">
        <v>53</v>
      </c>
      <c r="F34" t="s">
        <v>59</v>
      </c>
      <c r="G34" t="s">
        <v>82</v>
      </c>
      <c r="H34">
        <v>830</v>
      </c>
      <c r="I34">
        <v>3</v>
      </c>
      <c r="J34">
        <v>240</v>
      </c>
      <c r="K34">
        <v>1654.21</v>
      </c>
      <c r="L34">
        <v>7.0000000000000007E-2</v>
      </c>
      <c r="M34">
        <f>ROUND(K34*(1+L34),1)</f>
        <v>1770</v>
      </c>
      <c r="N34" t="b">
        <v>1</v>
      </c>
      <c r="O34">
        <v>1212.8900000000001</v>
      </c>
      <c r="P34">
        <v>1212.8900000000001</v>
      </c>
      <c r="Q34">
        <v>18540</v>
      </c>
      <c r="R34">
        <v>18540</v>
      </c>
    </row>
    <row r="35" spans="1:18" x14ac:dyDescent="0.25">
      <c r="A35" t="s">
        <v>127</v>
      </c>
      <c r="B35" t="s">
        <v>122</v>
      </c>
      <c r="C35" s="1">
        <v>41969</v>
      </c>
      <c r="D35" t="s">
        <v>93</v>
      </c>
      <c r="E35" t="s">
        <v>53</v>
      </c>
      <c r="F35" t="s">
        <v>59</v>
      </c>
      <c r="G35" t="s">
        <v>31</v>
      </c>
      <c r="H35">
        <v>830</v>
      </c>
      <c r="I35">
        <v>3</v>
      </c>
      <c r="J35">
        <v>240</v>
      </c>
      <c r="K35">
        <v>1654.21</v>
      </c>
      <c r="L35">
        <v>7.0000000000000007E-2</v>
      </c>
      <c r="M35">
        <f t="shared" si="0"/>
        <v>1770</v>
      </c>
      <c r="N35" t="b">
        <v>1</v>
      </c>
      <c r="O35">
        <v>1212.8900000000001</v>
      </c>
      <c r="P35">
        <v>1212.8900000000001</v>
      </c>
      <c r="Q35">
        <v>18540</v>
      </c>
      <c r="R35">
        <v>18540</v>
      </c>
    </row>
    <row r="36" spans="1:18" x14ac:dyDescent="0.25">
      <c r="A36" t="s">
        <v>128</v>
      </c>
      <c r="B36" t="s">
        <v>122</v>
      </c>
      <c r="C36" s="1">
        <v>41969</v>
      </c>
      <c r="D36" t="s">
        <v>93</v>
      </c>
      <c r="E36" t="s">
        <v>53</v>
      </c>
      <c r="F36" t="s">
        <v>59</v>
      </c>
      <c r="G36" t="s">
        <v>129</v>
      </c>
      <c r="H36">
        <v>1950</v>
      </c>
      <c r="I36">
        <v>3</v>
      </c>
      <c r="J36">
        <v>650</v>
      </c>
      <c r="K36">
        <v>3644.86</v>
      </c>
      <c r="L36">
        <v>7.0000000000000007E-2</v>
      </c>
      <c r="M36">
        <f t="shared" si="0"/>
        <v>3900</v>
      </c>
      <c r="N36" t="b">
        <v>1</v>
      </c>
      <c r="O36">
        <v>1212.8900000000001</v>
      </c>
      <c r="P36">
        <v>1212.8900000000001</v>
      </c>
      <c r="Q36">
        <v>18540</v>
      </c>
      <c r="R36">
        <v>18540</v>
      </c>
    </row>
    <row r="37" spans="1:18" x14ac:dyDescent="0.25">
      <c r="A37" t="s">
        <v>130</v>
      </c>
      <c r="B37" t="s">
        <v>122</v>
      </c>
      <c r="C37" s="1">
        <v>41969</v>
      </c>
      <c r="D37" t="s">
        <v>93</v>
      </c>
      <c r="E37" t="s">
        <v>53</v>
      </c>
      <c r="F37" t="s">
        <v>59</v>
      </c>
      <c r="G37" t="s">
        <v>131</v>
      </c>
      <c r="H37">
        <v>1950</v>
      </c>
      <c r="I37">
        <v>3</v>
      </c>
      <c r="J37">
        <v>650</v>
      </c>
      <c r="K37">
        <v>3644.86</v>
      </c>
      <c r="L37">
        <v>7.0000000000000007E-2</v>
      </c>
      <c r="M37">
        <f t="shared" si="0"/>
        <v>3900</v>
      </c>
      <c r="N37" t="b">
        <v>1</v>
      </c>
      <c r="O37">
        <v>1212.8900000000001</v>
      </c>
      <c r="P37">
        <v>1212.8900000000001</v>
      </c>
      <c r="Q37">
        <v>18540</v>
      </c>
      <c r="R37">
        <v>18540</v>
      </c>
    </row>
    <row r="38" spans="1:18" x14ac:dyDescent="0.25">
      <c r="A38" t="s">
        <v>132</v>
      </c>
      <c r="B38" t="s">
        <v>133</v>
      </c>
      <c r="C38" s="1">
        <v>41969</v>
      </c>
      <c r="D38" t="s">
        <v>58</v>
      </c>
      <c r="E38" t="s">
        <v>20</v>
      </c>
      <c r="F38" t="s">
        <v>134</v>
      </c>
      <c r="G38" t="s">
        <v>135</v>
      </c>
      <c r="H38">
        <v>970</v>
      </c>
      <c r="I38">
        <v>1</v>
      </c>
      <c r="J38">
        <v>110</v>
      </c>
      <c r="K38">
        <v>803.74</v>
      </c>
      <c r="L38">
        <v>7.0000000000000007E-2</v>
      </c>
      <c r="M38">
        <f t="shared" si="0"/>
        <v>860</v>
      </c>
      <c r="O38">
        <v>820.36</v>
      </c>
      <c r="P38">
        <v>820.36</v>
      </c>
      <c r="Q38">
        <v>12540</v>
      </c>
      <c r="R38">
        <v>12540</v>
      </c>
    </row>
    <row r="39" spans="1:18" x14ac:dyDescent="0.25">
      <c r="A39" t="s">
        <v>136</v>
      </c>
      <c r="B39" t="s">
        <v>133</v>
      </c>
      <c r="C39" s="1">
        <v>41969</v>
      </c>
      <c r="D39" t="s">
        <v>58</v>
      </c>
      <c r="E39" t="s">
        <v>20</v>
      </c>
      <c r="F39" t="s">
        <v>134</v>
      </c>
      <c r="G39" t="s">
        <v>137</v>
      </c>
      <c r="H39">
        <v>970</v>
      </c>
      <c r="I39">
        <v>1</v>
      </c>
      <c r="J39">
        <v>110</v>
      </c>
      <c r="K39">
        <v>803.74</v>
      </c>
      <c r="L39">
        <v>7.0000000000000007E-2</v>
      </c>
      <c r="M39">
        <f t="shared" si="0"/>
        <v>860</v>
      </c>
      <c r="O39">
        <v>820.36</v>
      </c>
      <c r="P39">
        <v>820.36</v>
      </c>
      <c r="Q39">
        <v>12540</v>
      </c>
      <c r="R39">
        <v>12540</v>
      </c>
    </row>
    <row r="40" spans="1:18" x14ac:dyDescent="0.25">
      <c r="A40" t="s">
        <v>138</v>
      </c>
      <c r="B40" t="s">
        <v>133</v>
      </c>
      <c r="C40" s="1">
        <v>41969</v>
      </c>
      <c r="D40" t="s">
        <v>58</v>
      </c>
      <c r="E40" t="s">
        <v>20</v>
      </c>
      <c r="F40" t="s">
        <v>134</v>
      </c>
      <c r="G40" t="s">
        <v>22</v>
      </c>
      <c r="H40">
        <v>1390</v>
      </c>
      <c r="I40">
        <v>1</v>
      </c>
      <c r="J40">
        <v>190</v>
      </c>
      <c r="K40">
        <v>1121.5</v>
      </c>
      <c r="L40">
        <v>7.0000000000000007E-2</v>
      </c>
      <c r="M40">
        <f t="shared" si="0"/>
        <v>1200</v>
      </c>
      <c r="O40">
        <v>820.36</v>
      </c>
      <c r="P40">
        <v>820.36</v>
      </c>
      <c r="Q40">
        <v>12540</v>
      </c>
      <c r="R40">
        <v>12540</v>
      </c>
    </row>
    <row r="41" spans="1:18" x14ac:dyDescent="0.25">
      <c r="A41" t="s">
        <v>139</v>
      </c>
      <c r="B41" t="s">
        <v>133</v>
      </c>
      <c r="C41" s="1">
        <v>41969</v>
      </c>
      <c r="D41" t="s">
        <v>58</v>
      </c>
      <c r="E41" t="s">
        <v>20</v>
      </c>
      <c r="F41" t="s">
        <v>134</v>
      </c>
      <c r="G41" t="s">
        <v>24</v>
      </c>
      <c r="H41">
        <v>1390</v>
      </c>
      <c r="I41">
        <v>1</v>
      </c>
      <c r="J41">
        <v>190</v>
      </c>
      <c r="K41">
        <v>1121.5</v>
      </c>
      <c r="L41">
        <v>7.0000000000000007E-2</v>
      </c>
      <c r="M41">
        <f t="shared" si="0"/>
        <v>1200</v>
      </c>
      <c r="O41">
        <v>820.36</v>
      </c>
      <c r="P41">
        <v>820.36</v>
      </c>
      <c r="Q41">
        <v>12540</v>
      </c>
      <c r="R41">
        <v>12540</v>
      </c>
    </row>
    <row r="42" spans="1:18" x14ac:dyDescent="0.25">
      <c r="A42" t="s">
        <v>140</v>
      </c>
      <c r="B42" t="s">
        <v>133</v>
      </c>
      <c r="C42" s="1">
        <v>41969</v>
      </c>
      <c r="D42" t="s">
        <v>58</v>
      </c>
      <c r="E42" t="s">
        <v>20</v>
      </c>
      <c r="F42" t="s">
        <v>134</v>
      </c>
      <c r="G42" t="s">
        <v>82</v>
      </c>
      <c r="H42">
        <v>830</v>
      </c>
      <c r="I42">
        <v>3</v>
      </c>
      <c r="J42">
        <v>240</v>
      </c>
      <c r="K42">
        <v>1654.21</v>
      </c>
      <c r="L42">
        <v>7.0000000000000007E-2</v>
      </c>
      <c r="M42">
        <f t="shared" si="0"/>
        <v>1770</v>
      </c>
      <c r="O42">
        <v>820.36</v>
      </c>
      <c r="P42">
        <v>820.36</v>
      </c>
      <c r="Q42">
        <v>12540</v>
      </c>
      <c r="R42">
        <v>12540</v>
      </c>
    </row>
    <row r="43" spans="1:18" x14ac:dyDescent="0.25">
      <c r="A43" t="s">
        <v>141</v>
      </c>
      <c r="B43" t="s">
        <v>133</v>
      </c>
      <c r="C43" s="1">
        <v>41969</v>
      </c>
      <c r="D43" t="s">
        <v>58</v>
      </c>
      <c r="E43" t="s">
        <v>20</v>
      </c>
      <c r="F43" t="s">
        <v>134</v>
      </c>
      <c r="G43" t="s">
        <v>31</v>
      </c>
      <c r="H43">
        <v>830</v>
      </c>
      <c r="I43">
        <v>3</v>
      </c>
      <c r="J43">
        <v>240</v>
      </c>
      <c r="K43">
        <v>1654.21</v>
      </c>
      <c r="L43">
        <v>7.0000000000000007E-2</v>
      </c>
      <c r="M43">
        <f t="shared" si="0"/>
        <v>1770</v>
      </c>
      <c r="O43">
        <v>820.36</v>
      </c>
      <c r="P43">
        <v>820.36</v>
      </c>
      <c r="Q43">
        <v>12540</v>
      </c>
      <c r="R43">
        <v>12540</v>
      </c>
    </row>
    <row r="44" spans="1:18" x14ac:dyDescent="0.25">
      <c r="A44" t="s">
        <v>142</v>
      </c>
      <c r="B44" t="s">
        <v>133</v>
      </c>
      <c r="C44" s="1">
        <v>41969</v>
      </c>
      <c r="D44" t="s">
        <v>58</v>
      </c>
      <c r="E44" t="s">
        <v>20</v>
      </c>
      <c r="F44" t="s">
        <v>134</v>
      </c>
      <c r="G44" t="s">
        <v>143</v>
      </c>
      <c r="H44">
        <v>690</v>
      </c>
      <c r="I44">
        <v>4</v>
      </c>
      <c r="J44">
        <v>80</v>
      </c>
      <c r="K44">
        <v>2280.37</v>
      </c>
      <c r="L44">
        <v>7.0000000000000007E-2</v>
      </c>
      <c r="M44">
        <f t="shared" si="0"/>
        <v>2440</v>
      </c>
      <c r="O44">
        <v>820.36</v>
      </c>
      <c r="P44">
        <v>820.36</v>
      </c>
      <c r="Q44">
        <v>12540</v>
      </c>
      <c r="R44">
        <v>12540</v>
      </c>
    </row>
    <row r="45" spans="1:18" x14ac:dyDescent="0.25">
      <c r="A45" t="s">
        <v>144</v>
      </c>
      <c r="B45" t="s">
        <v>133</v>
      </c>
      <c r="C45" s="1">
        <v>41969</v>
      </c>
      <c r="D45" t="s">
        <v>58</v>
      </c>
      <c r="E45" t="s">
        <v>20</v>
      </c>
      <c r="F45" t="s">
        <v>134</v>
      </c>
      <c r="G45" t="s">
        <v>145</v>
      </c>
      <c r="H45">
        <v>690</v>
      </c>
      <c r="I45">
        <v>4</v>
      </c>
      <c r="J45">
        <v>80</v>
      </c>
      <c r="K45">
        <v>2280.37</v>
      </c>
      <c r="L45">
        <v>7.0000000000000007E-2</v>
      </c>
      <c r="M45">
        <f t="shared" si="0"/>
        <v>2440</v>
      </c>
      <c r="O45">
        <v>820.36</v>
      </c>
      <c r="P45">
        <v>820.36</v>
      </c>
      <c r="Q45">
        <v>12540</v>
      </c>
      <c r="R45">
        <v>12540</v>
      </c>
    </row>
    <row r="46" spans="1:18" x14ac:dyDescent="0.25">
      <c r="A46" t="s">
        <v>146</v>
      </c>
      <c r="B46" t="s">
        <v>133</v>
      </c>
      <c r="C46" s="1">
        <v>41969</v>
      </c>
      <c r="D46" t="s">
        <v>58</v>
      </c>
      <c r="E46" t="s">
        <v>20</v>
      </c>
      <c r="F46" t="s">
        <v>134</v>
      </c>
      <c r="G46" t="s">
        <v>147</v>
      </c>
      <c r="H46">
        <v>830</v>
      </c>
      <c r="I46">
        <v>1</v>
      </c>
      <c r="J46">
        <v>830</v>
      </c>
      <c r="L46">
        <v>7.0000000000000007E-2</v>
      </c>
      <c r="M46">
        <f t="shared" si="0"/>
        <v>0</v>
      </c>
      <c r="O46">
        <v>820.36</v>
      </c>
      <c r="P46">
        <v>820.36</v>
      </c>
      <c r="Q46">
        <v>12540</v>
      </c>
      <c r="R46">
        <v>12540</v>
      </c>
    </row>
    <row r="47" spans="1:18" x14ac:dyDescent="0.25">
      <c r="A47" t="s">
        <v>148</v>
      </c>
      <c r="B47" t="s">
        <v>133</v>
      </c>
      <c r="C47" s="1">
        <v>41969</v>
      </c>
      <c r="D47" t="s">
        <v>58</v>
      </c>
      <c r="E47" t="s">
        <v>20</v>
      </c>
      <c r="F47" t="s">
        <v>134</v>
      </c>
      <c r="G47" t="s">
        <v>149</v>
      </c>
      <c r="H47">
        <v>580</v>
      </c>
      <c r="I47">
        <v>1</v>
      </c>
      <c r="J47">
        <v>580</v>
      </c>
      <c r="L47">
        <v>7.0000000000000007E-2</v>
      </c>
      <c r="M47">
        <f t="shared" si="0"/>
        <v>0</v>
      </c>
      <c r="O47">
        <v>820.36</v>
      </c>
      <c r="P47">
        <v>820.36</v>
      </c>
      <c r="Q47">
        <v>12540</v>
      </c>
      <c r="R47">
        <v>12540</v>
      </c>
    </row>
    <row r="48" spans="1:18" x14ac:dyDescent="0.25">
      <c r="A48" t="s">
        <v>150</v>
      </c>
      <c r="B48" t="s">
        <v>151</v>
      </c>
      <c r="C48" s="1">
        <v>41969</v>
      </c>
      <c r="D48" t="s">
        <v>58</v>
      </c>
      <c r="E48" t="s">
        <v>20</v>
      </c>
      <c r="F48" t="s">
        <v>152</v>
      </c>
      <c r="G48" t="s">
        <v>135</v>
      </c>
      <c r="H48">
        <v>970</v>
      </c>
      <c r="I48">
        <v>1</v>
      </c>
      <c r="J48">
        <v>110</v>
      </c>
      <c r="K48">
        <v>803.74</v>
      </c>
      <c r="L48">
        <v>7.0000000000000007E-2</v>
      </c>
      <c r="M48">
        <f t="shared" si="0"/>
        <v>860</v>
      </c>
      <c r="O48">
        <v>820.36</v>
      </c>
      <c r="P48">
        <v>820.36</v>
      </c>
      <c r="Q48">
        <v>12540</v>
      </c>
      <c r="R48">
        <v>12540</v>
      </c>
    </row>
    <row r="49" spans="1:18" x14ac:dyDescent="0.25">
      <c r="A49" t="s">
        <v>153</v>
      </c>
      <c r="B49" t="s">
        <v>151</v>
      </c>
      <c r="C49" s="1">
        <v>41969</v>
      </c>
      <c r="D49" t="s">
        <v>58</v>
      </c>
      <c r="E49" t="s">
        <v>20</v>
      </c>
      <c r="F49" t="s">
        <v>152</v>
      </c>
      <c r="G49" t="s">
        <v>137</v>
      </c>
      <c r="H49">
        <v>970</v>
      </c>
      <c r="I49">
        <v>1</v>
      </c>
      <c r="J49">
        <v>110</v>
      </c>
      <c r="K49">
        <v>803.74</v>
      </c>
      <c r="L49">
        <v>7.0000000000000007E-2</v>
      </c>
      <c r="M49">
        <f>ROUND(K49*(1+L49),1)</f>
        <v>860</v>
      </c>
      <c r="O49">
        <v>820.36</v>
      </c>
      <c r="P49">
        <v>820.36</v>
      </c>
      <c r="Q49">
        <v>12540</v>
      </c>
      <c r="R49">
        <v>12540</v>
      </c>
    </row>
    <row r="50" spans="1:18" x14ac:dyDescent="0.25">
      <c r="A50" t="s">
        <v>154</v>
      </c>
      <c r="B50" t="s">
        <v>151</v>
      </c>
      <c r="C50" s="1">
        <v>41969</v>
      </c>
      <c r="D50" t="s">
        <v>58</v>
      </c>
      <c r="E50" t="s">
        <v>20</v>
      </c>
      <c r="F50" t="s">
        <v>152</v>
      </c>
      <c r="G50" t="s">
        <v>22</v>
      </c>
      <c r="H50">
        <v>1390</v>
      </c>
      <c r="I50">
        <v>1</v>
      </c>
      <c r="J50">
        <v>190</v>
      </c>
      <c r="K50">
        <v>1121.5</v>
      </c>
      <c r="L50">
        <v>7.0000000000000007E-2</v>
      </c>
      <c r="M50">
        <f t="shared" si="0"/>
        <v>1200</v>
      </c>
      <c r="O50">
        <v>820.36</v>
      </c>
      <c r="P50">
        <v>820.36</v>
      </c>
      <c r="Q50">
        <v>12540</v>
      </c>
      <c r="R50">
        <v>12540</v>
      </c>
    </row>
    <row r="51" spans="1:18" x14ac:dyDescent="0.25">
      <c r="A51" t="s">
        <v>155</v>
      </c>
      <c r="B51" t="s">
        <v>151</v>
      </c>
      <c r="C51" s="1">
        <v>41969</v>
      </c>
      <c r="D51" t="s">
        <v>58</v>
      </c>
      <c r="E51" t="s">
        <v>20</v>
      </c>
      <c r="F51" t="s">
        <v>152</v>
      </c>
      <c r="G51" t="s">
        <v>24</v>
      </c>
      <c r="H51">
        <v>1390</v>
      </c>
      <c r="I51">
        <v>1</v>
      </c>
      <c r="J51">
        <v>190</v>
      </c>
      <c r="K51">
        <v>1121.5</v>
      </c>
      <c r="L51">
        <v>7.0000000000000007E-2</v>
      </c>
      <c r="M51">
        <f t="shared" si="0"/>
        <v>1200</v>
      </c>
      <c r="O51">
        <v>820.36</v>
      </c>
      <c r="P51">
        <v>820.36</v>
      </c>
      <c r="Q51">
        <v>12540</v>
      </c>
      <c r="R51">
        <v>12540</v>
      </c>
    </row>
    <row r="52" spans="1:18" x14ac:dyDescent="0.25">
      <c r="A52" t="s">
        <v>156</v>
      </c>
      <c r="B52" t="s">
        <v>151</v>
      </c>
      <c r="C52" s="1">
        <v>41969</v>
      </c>
      <c r="D52" t="s">
        <v>58</v>
      </c>
      <c r="E52" t="s">
        <v>20</v>
      </c>
      <c r="F52" t="s">
        <v>152</v>
      </c>
      <c r="G52" t="s">
        <v>82</v>
      </c>
      <c r="H52">
        <v>830</v>
      </c>
      <c r="I52">
        <v>3</v>
      </c>
      <c r="J52">
        <v>240</v>
      </c>
      <c r="K52">
        <v>1654.21</v>
      </c>
      <c r="L52">
        <v>7.0000000000000007E-2</v>
      </c>
      <c r="M52">
        <f t="shared" si="0"/>
        <v>1770</v>
      </c>
      <c r="O52">
        <v>820.36</v>
      </c>
      <c r="P52">
        <v>820.36</v>
      </c>
      <c r="Q52">
        <v>12540</v>
      </c>
      <c r="R52">
        <v>12540</v>
      </c>
    </row>
    <row r="53" spans="1:18" x14ac:dyDescent="0.25">
      <c r="A53" t="s">
        <v>157</v>
      </c>
      <c r="B53" t="s">
        <v>151</v>
      </c>
      <c r="C53" s="1">
        <v>41969</v>
      </c>
      <c r="D53" t="s">
        <v>58</v>
      </c>
      <c r="E53" t="s">
        <v>20</v>
      </c>
      <c r="F53" t="s">
        <v>152</v>
      </c>
      <c r="G53" t="s">
        <v>31</v>
      </c>
      <c r="H53">
        <v>830</v>
      </c>
      <c r="I53">
        <v>3</v>
      </c>
      <c r="J53">
        <v>240</v>
      </c>
      <c r="K53">
        <v>1654.21</v>
      </c>
      <c r="L53">
        <v>7.0000000000000007E-2</v>
      </c>
      <c r="M53">
        <f t="shared" si="0"/>
        <v>1770</v>
      </c>
      <c r="O53">
        <v>820.36</v>
      </c>
      <c r="P53">
        <v>820.36</v>
      </c>
      <c r="Q53">
        <v>12540</v>
      </c>
      <c r="R53">
        <v>12540</v>
      </c>
    </row>
    <row r="54" spans="1:18" x14ac:dyDescent="0.25">
      <c r="A54" t="s">
        <v>158</v>
      </c>
      <c r="B54" t="s">
        <v>151</v>
      </c>
      <c r="C54" s="1">
        <v>41969</v>
      </c>
      <c r="D54" t="s">
        <v>58</v>
      </c>
      <c r="E54" t="s">
        <v>20</v>
      </c>
      <c r="F54" t="s">
        <v>152</v>
      </c>
      <c r="G54" t="s">
        <v>143</v>
      </c>
      <c r="H54">
        <v>690</v>
      </c>
      <c r="I54">
        <v>4</v>
      </c>
      <c r="J54">
        <v>80</v>
      </c>
      <c r="K54">
        <v>2280.37</v>
      </c>
      <c r="L54">
        <v>7.0000000000000007E-2</v>
      </c>
      <c r="M54">
        <f t="shared" si="0"/>
        <v>2440</v>
      </c>
      <c r="O54">
        <v>820.36</v>
      </c>
      <c r="P54">
        <v>820.36</v>
      </c>
      <c r="Q54">
        <v>12540</v>
      </c>
      <c r="R54">
        <v>12540</v>
      </c>
    </row>
    <row r="55" spans="1:18" x14ac:dyDescent="0.25">
      <c r="A55" t="s">
        <v>159</v>
      </c>
      <c r="B55" t="s">
        <v>151</v>
      </c>
      <c r="C55" s="1">
        <v>41969</v>
      </c>
      <c r="D55" t="s">
        <v>58</v>
      </c>
      <c r="E55" t="s">
        <v>20</v>
      </c>
      <c r="F55" t="s">
        <v>152</v>
      </c>
      <c r="G55" t="s">
        <v>145</v>
      </c>
      <c r="H55">
        <v>690</v>
      </c>
      <c r="I55">
        <v>4</v>
      </c>
      <c r="J55">
        <v>80</v>
      </c>
      <c r="K55">
        <v>2280.37</v>
      </c>
      <c r="L55">
        <v>7.0000000000000007E-2</v>
      </c>
      <c r="M55">
        <f t="shared" si="0"/>
        <v>2440</v>
      </c>
      <c r="O55">
        <v>820.36</v>
      </c>
      <c r="P55">
        <v>820.36</v>
      </c>
      <c r="Q55">
        <v>12540</v>
      </c>
      <c r="R55">
        <v>12540</v>
      </c>
    </row>
    <row r="56" spans="1:18" x14ac:dyDescent="0.25">
      <c r="A56" t="s">
        <v>160</v>
      </c>
      <c r="B56" t="s">
        <v>151</v>
      </c>
      <c r="C56" s="1">
        <v>41969</v>
      </c>
      <c r="D56" t="s">
        <v>58</v>
      </c>
      <c r="E56" t="s">
        <v>20</v>
      </c>
      <c r="F56" t="s">
        <v>152</v>
      </c>
      <c r="G56" t="s">
        <v>147</v>
      </c>
      <c r="H56">
        <v>830</v>
      </c>
      <c r="I56">
        <v>1</v>
      </c>
      <c r="J56">
        <v>830</v>
      </c>
      <c r="L56">
        <v>7.0000000000000007E-2</v>
      </c>
      <c r="M56">
        <f t="shared" si="0"/>
        <v>0</v>
      </c>
      <c r="O56">
        <v>820.36</v>
      </c>
      <c r="P56">
        <v>820.36</v>
      </c>
      <c r="Q56">
        <v>12540</v>
      </c>
      <c r="R56">
        <v>12540</v>
      </c>
    </row>
    <row r="57" spans="1:18" x14ac:dyDescent="0.25">
      <c r="A57" t="s">
        <v>161</v>
      </c>
      <c r="B57" t="s">
        <v>151</v>
      </c>
      <c r="C57" s="1">
        <v>41969</v>
      </c>
      <c r="D57" t="s">
        <v>58</v>
      </c>
      <c r="E57" t="s">
        <v>20</v>
      </c>
      <c r="F57" t="s">
        <v>152</v>
      </c>
      <c r="G57" t="s">
        <v>149</v>
      </c>
      <c r="H57">
        <v>580</v>
      </c>
      <c r="I57">
        <v>1</v>
      </c>
      <c r="J57">
        <v>580</v>
      </c>
      <c r="L57">
        <v>7.0000000000000007E-2</v>
      </c>
      <c r="M57">
        <f t="shared" si="0"/>
        <v>0</v>
      </c>
      <c r="O57">
        <v>820.36</v>
      </c>
      <c r="P57">
        <v>820.36</v>
      </c>
      <c r="Q57">
        <v>12540</v>
      </c>
      <c r="R57">
        <v>12540</v>
      </c>
    </row>
    <row r="58" spans="1:18" x14ac:dyDescent="0.25">
      <c r="A58" t="s">
        <v>162</v>
      </c>
      <c r="B58" t="s">
        <v>163</v>
      </c>
      <c r="C58" s="1">
        <v>41968</v>
      </c>
      <c r="D58" t="s">
        <v>58</v>
      </c>
      <c r="E58" t="s">
        <v>118</v>
      </c>
      <c r="F58" t="s">
        <v>164</v>
      </c>
      <c r="G58" t="s">
        <v>120</v>
      </c>
      <c r="H58">
        <v>593.52</v>
      </c>
      <c r="I58">
        <v>11</v>
      </c>
      <c r="K58">
        <v>6101.61</v>
      </c>
      <c r="L58">
        <v>7.0000000000000007E-2</v>
      </c>
      <c r="M58">
        <f t="shared" si="0"/>
        <v>6528.7</v>
      </c>
      <c r="O58">
        <v>427.11</v>
      </c>
      <c r="P58">
        <v>427.11</v>
      </c>
      <c r="Q58">
        <v>6528.72</v>
      </c>
      <c r="R58">
        <v>6528.72</v>
      </c>
    </row>
    <row r="59" spans="1:18" x14ac:dyDescent="0.25">
      <c r="A59" t="s">
        <v>165</v>
      </c>
      <c r="B59" t="s">
        <v>166</v>
      </c>
      <c r="C59" s="1">
        <v>41968</v>
      </c>
      <c r="D59" t="s">
        <v>58</v>
      </c>
      <c r="E59" t="s">
        <v>118</v>
      </c>
      <c r="F59" t="s">
        <v>164</v>
      </c>
      <c r="G59" t="s">
        <v>167</v>
      </c>
      <c r="H59">
        <v>1671.02</v>
      </c>
      <c r="I59">
        <v>6</v>
      </c>
      <c r="K59">
        <v>9370.2099999999991</v>
      </c>
      <c r="L59">
        <v>7.0000000000000007E-2</v>
      </c>
      <c r="M59">
        <f t="shared" si="0"/>
        <v>10026.1</v>
      </c>
      <c r="O59">
        <v>2757.4</v>
      </c>
      <c r="P59">
        <v>2757.4</v>
      </c>
      <c r="Q59">
        <v>42148.84</v>
      </c>
      <c r="R59">
        <v>42148.84</v>
      </c>
    </row>
    <row r="60" spans="1:18" x14ac:dyDescent="0.25">
      <c r="A60" t="s">
        <v>168</v>
      </c>
      <c r="B60" t="s">
        <v>166</v>
      </c>
      <c r="C60" s="1">
        <v>41968</v>
      </c>
      <c r="D60" t="s">
        <v>58</v>
      </c>
      <c r="E60" t="s">
        <v>118</v>
      </c>
      <c r="F60" t="s">
        <v>164</v>
      </c>
      <c r="G60" t="s">
        <v>169</v>
      </c>
      <c r="H60">
        <v>643.91999999999996</v>
      </c>
      <c r="I60">
        <v>17</v>
      </c>
      <c r="K60">
        <v>10230.5</v>
      </c>
      <c r="L60">
        <v>7.0000000000000007E-2</v>
      </c>
      <c r="M60">
        <f t="shared" si="0"/>
        <v>10946.6</v>
      </c>
      <c r="O60">
        <v>2757.4</v>
      </c>
      <c r="P60">
        <v>2757.4</v>
      </c>
      <c r="Q60">
        <v>42148.84</v>
      </c>
      <c r="R60">
        <v>42148.84</v>
      </c>
    </row>
    <row r="61" spans="1:18" x14ac:dyDescent="0.25">
      <c r="A61" t="s">
        <v>170</v>
      </c>
      <c r="B61" t="s">
        <v>166</v>
      </c>
      <c r="C61" s="1">
        <v>41968</v>
      </c>
      <c r="D61" t="s">
        <v>58</v>
      </c>
      <c r="E61" t="s">
        <v>118</v>
      </c>
      <c r="F61" t="s">
        <v>164</v>
      </c>
      <c r="G61" t="s">
        <v>171</v>
      </c>
      <c r="H61">
        <v>1832</v>
      </c>
      <c r="I61">
        <v>6</v>
      </c>
      <c r="K61">
        <v>10272.9</v>
      </c>
      <c r="L61">
        <v>7.0000000000000007E-2</v>
      </c>
      <c r="M61">
        <f t="shared" si="0"/>
        <v>10992</v>
      </c>
      <c r="O61">
        <v>2757.4</v>
      </c>
      <c r="P61">
        <v>2757.4</v>
      </c>
      <c r="Q61">
        <v>42148.84</v>
      </c>
      <c r="R61">
        <v>42148.84</v>
      </c>
    </row>
    <row r="62" spans="1:18" x14ac:dyDescent="0.25">
      <c r="A62" t="s">
        <v>172</v>
      </c>
      <c r="B62" t="s">
        <v>166</v>
      </c>
      <c r="C62" s="1">
        <v>41968</v>
      </c>
      <c r="D62" t="s">
        <v>58</v>
      </c>
      <c r="E62" t="s">
        <v>118</v>
      </c>
      <c r="F62" t="s">
        <v>164</v>
      </c>
      <c r="G62" t="s">
        <v>173</v>
      </c>
      <c r="H62">
        <v>1192.52</v>
      </c>
      <c r="I62">
        <v>8</v>
      </c>
      <c r="K62">
        <v>8916.0400000000009</v>
      </c>
      <c r="L62">
        <v>7.0000000000000007E-2</v>
      </c>
      <c r="M62">
        <f t="shared" si="0"/>
        <v>9540.2000000000007</v>
      </c>
      <c r="O62">
        <v>2757.4</v>
      </c>
      <c r="P62">
        <v>2757.4</v>
      </c>
      <c r="Q62">
        <v>42148.84</v>
      </c>
      <c r="R62">
        <v>42148.84</v>
      </c>
    </row>
    <row r="63" spans="1:18" x14ac:dyDescent="0.25">
      <c r="A63" t="s">
        <v>174</v>
      </c>
      <c r="B63" t="s">
        <v>166</v>
      </c>
      <c r="C63" s="1">
        <v>41968</v>
      </c>
      <c r="D63" t="s">
        <v>58</v>
      </c>
      <c r="E63" t="s">
        <v>118</v>
      </c>
      <c r="F63" t="s">
        <v>164</v>
      </c>
      <c r="G63" t="s">
        <v>175</v>
      </c>
      <c r="H63">
        <v>321.95999999999998</v>
      </c>
      <c r="I63">
        <v>2</v>
      </c>
      <c r="K63">
        <v>601.79</v>
      </c>
      <c r="L63">
        <v>7.0000000000000007E-2</v>
      </c>
      <c r="M63">
        <f t="shared" si="0"/>
        <v>643.9</v>
      </c>
      <c r="O63">
        <v>2757.4</v>
      </c>
      <c r="P63">
        <v>2757.4</v>
      </c>
      <c r="Q63">
        <v>42148.84</v>
      </c>
      <c r="R63">
        <v>42148.84</v>
      </c>
    </row>
    <row r="64" spans="1:18" x14ac:dyDescent="0.25">
      <c r="A64" t="s">
        <v>176</v>
      </c>
      <c r="B64" t="s">
        <v>177</v>
      </c>
      <c r="C64" s="1">
        <v>41968</v>
      </c>
      <c r="D64" t="s">
        <v>58</v>
      </c>
      <c r="E64" t="s">
        <v>118</v>
      </c>
      <c r="F64" t="s">
        <v>164</v>
      </c>
      <c r="G64" t="s">
        <v>167</v>
      </c>
      <c r="H64">
        <v>1671.02</v>
      </c>
      <c r="I64">
        <v>8</v>
      </c>
      <c r="K64">
        <v>12493.61</v>
      </c>
      <c r="L64">
        <v>7.0000000000000007E-2</v>
      </c>
      <c r="M64">
        <f t="shared" si="0"/>
        <v>13368.2</v>
      </c>
      <c r="O64">
        <v>3365.96</v>
      </c>
      <c r="P64">
        <v>3365.96</v>
      </c>
      <c r="Q64">
        <v>51451.24</v>
      </c>
      <c r="R64">
        <v>51451.24</v>
      </c>
    </row>
    <row r="65" spans="1:18" x14ac:dyDescent="0.25">
      <c r="A65" t="s">
        <v>178</v>
      </c>
      <c r="B65" t="s">
        <v>177</v>
      </c>
      <c r="C65" s="1">
        <v>41968</v>
      </c>
      <c r="D65" t="s">
        <v>58</v>
      </c>
      <c r="E65" t="s">
        <v>118</v>
      </c>
      <c r="F65" t="s">
        <v>164</v>
      </c>
      <c r="G65" t="s">
        <v>179</v>
      </c>
      <c r="H65">
        <v>643.91999999999996</v>
      </c>
      <c r="I65">
        <v>18</v>
      </c>
      <c r="K65">
        <v>10832.3</v>
      </c>
      <c r="L65">
        <v>7.0000000000000007E-2</v>
      </c>
      <c r="M65">
        <f t="shared" si="0"/>
        <v>11590.6</v>
      </c>
      <c r="O65">
        <v>3365.96</v>
      </c>
      <c r="P65">
        <v>3365.96</v>
      </c>
      <c r="Q65">
        <v>51451.24</v>
      </c>
      <c r="R65">
        <v>51451.24</v>
      </c>
    </row>
    <row r="66" spans="1:18" x14ac:dyDescent="0.25">
      <c r="A66" t="s">
        <v>180</v>
      </c>
      <c r="B66" t="s">
        <v>177</v>
      </c>
      <c r="C66" s="1">
        <v>41968</v>
      </c>
      <c r="D66" t="s">
        <v>58</v>
      </c>
      <c r="E66" t="s">
        <v>118</v>
      </c>
      <c r="F66" t="s">
        <v>164</v>
      </c>
      <c r="G66" t="s">
        <v>171</v>
      </c>
      <c r="H66">
        <v>1832</v>
      </c>
      <c r="I66">
        <v>6</v>
      </c>
      <c r="K66">
        <v>10272.9</v>
      </c>
      <c r="L66">
        <v>7.0000000000000007E-2</v>
      </c>
      <c r="M66">
        <f>ROUND(K66*(1+L66),1)</f>
        <v>10992</v>
      </c>
      <c r="O66">
        <v>3365.96</v>
      </c>
      <c r="P66">
        <v>3365.96</v>
      </c>
      <c r="Q66">
        <v>51451.24</v>
      </c>
      <c r="R66">
        <v>51451.24</v>
      </c>
    </row>
    <row r="67" spans="1:18" x14ac:dyDescent="0.25">
      <c r="A67" t="s">
        <v>181</v>
      </c>
      <c r="B67" t="s">
        <v>177</v>
      </c>
      <c r="C67" s="1">
        <v>41968</v>
      </c>
      <c r="D67" t="s">
        <v>58</v>
      </c>
      <c r="E67" t="s">
        <v>118</v>
      </c>
      <c r="F67" t="s">
        <v>164</v>
      </c>
      <c r="G67" t="s">
        <v>173</v>
      </c>
      <c r="H67">
        <v>1192.52</v>
      </c>
      <c r="I67">
        <v>12</v>
      </c>
      <c r="K67">
        <v>13374.06</v>
      </c>
      <c r="L67">
        <v>7.0000000000000007E-2</v>
      </c>
      <c r="M67">
        <f t="shared" si="0"/>
        <v>14310.2</v>
      </c>
      <c r="O67">
        <v>3365.96</v>
      </c>
      <c r="P67">
        <v>3365.96</v>
      </c>
      <c r="Q67">
        <v>51451.24</v>
      </c>
      <c r="R67">
        <v>51451.24</v>
      </c>
    </row>
    <row r="68" spans="1:18" x14ac:dyDescent="0.25">
      <c r="A68" t="s">
        <v>182</v>
      </c>
      <c r="B68" t="s">
        <v>177</v>
      </c>
      <c r="C68" s="1">
        <v>41968</v>
      </c>
      <c r="D68" t="s">
        <v>58</v>
      </c>
      <c r="E68" t="s">
        <v>118</v>
      </c>
      <c r="F68" t="s">
        <v>164</v>
      </c>
      <c r="G68" t="s">
        <v>149</v>
      </c>
      <c r="H68">
        <v>224.4</v>
      </c>
      <c r="I68">
        <v>1</v>
      </c>
      <c r="K68">
        <v>209.72</v>
      </c>
      <c r="L68">
        <v>7.0000000000000007E-2</v>
      </c>
      <c r="M68">
        <f t="shared" ref="M68:M131" si="1">ROUND(K68*(1+L68),1)</f>
        <v>224.4</v>
      </c>
      <c r="O68">
        <v>3365.96</v>
      </c>
      <c r="P68">
        <v>3365.96</v>
      </c>
      <c r="Q68">
        <v>51451.24</v>
      </c>
      <c r="R68">
        <v>51451.24</v>
      </c>
    </row>
    <row r="69" spans="1:18" x14ac:dyDescent="0.25">
      <c r="A69" t="s">
        <v>183</v>
      </c>
      <c r="B69" t="s">
        <v>177</v>
      </c>
      <c r="C69" s="1">
        <v>41968</v>
      </c>
      <c r="D69" t="s">
        <v>58</v>
      </c>
      <c r="E69" t="s">
        <v>118</v>
      </c>
      <c r="F69" t="s">
        <v>164</v>
      </c>
      <c r="G69" t="s">
        <v>175</v>
      </c>
      <c r="H69">
        <v>321.95999999999998</v>
      </c>
      <c r="I69">
        <v>3</v>
      </c>
      <c r="K69">
        <v>902.69</v>
      </c>
      <c r="L69">
        <v>7.0000000000000007E-2</v>
      </c>
      <c r="M69">
        <f t="shared" si="1"/>
        <v>965.9</v>
      </c>
      <c r="O69">
        <v>3365.96</v>
      </c>
      <c r="P69">
        <v>3365.96</v>
      </c>
      <c r="Q69">
        <v>51451.24</v>
      </c>
      <c r="R69">
        <v>51451.24</v>
      </c>
    </row>
    <row r="70" spans="1:18" x14ac:dyDescent="0.25">
      <c r="A70" t="s">
        <v>184</v>
      </c>
      <c r="B70" t="s">
        <v>185</v>
      </c>
      <c r="C70" s="1">
        <v>41968</v>
      </c>
      <c r="D70" t="s">
        <v>19</v>
      </c>
      <c r="E70" t="s">
        <v>118</v>
      </c>
      <c r="F70" t="s">
        <v>186</v>
      </c>
      <c r="G70" t="s">
        <v>120</v>
      </c>
      <c r="H70">
        <v>593.52</v>
      </c>
      <c r="I70">
        <v>36</v>
      </c>
      <c r="K70">
        <v>19968.900000000001</v>
      </c>
      <c r="L70">
        <v>7.0000000000000007E-2</v>
      </c>
      <c r="M70">
        <f t="shared" si="1"/>
        <v>21366.7</v>
      </c>
      <c r="O70">
        <v>1397.82</v>
      </c>
      <c r="P70">
        <v>1397.82</v>
      </c>
      <c r="Q70">
        <v>21366.720000000001</v>
      </c>
      <c r="R70">
        <v>21366.720000000001</v>
      </c>
    </row>
    <row r="71" spans="1:18" x14ac:dyDescent="0.25">
      <c r="A71" t="s">
        <v>187</v>
      </c>
      <c r="B71" t="s">
        <v>188</v>
      </c>
      <c r="C71" s="1">
        <v>41968</v>
      </c>
      <c r="D71" t="s">
        <v>93</v>
      </c>
      <c r="E71" t="s">
        <v>20</v>
      </c>
      <c r="F71" t="s">
        <v>189</v>
      </c>
      <c r="G71" t="s">
        <v>50</v>
      </c>
      <c r="H71">
        <v>690</v>
      </c>
      <c r="I71">
        <v>1</v>
      </c>
      <c r="K71">
        <v>644.86</v>
      </c>
      <c r="L71">
        <v>7.0000000000000007E-2</v>
      </c>
      <c r="M71">
        <f t="shared" si="1"/>
        <v>690</v>
      </c>
      <c r="N71" t="b">
        <v>1</v>
      </c>
      <c r="O71">
        <v>45.14</v>
      </c>
      <c r="P71">
        <v>45.14</v>
      </c>
      <c r="Q71">
        <v>690</v>
      </c>
      <c r="R71">
        <v>690</v>
      </c>
    </row>
    <row r="72" spans="1:18" x14ac:dyDescent="0.25">
      <c r="A72" t="s">
        <v>190</v>
      </c>
      <c r="B72" t="s">
        <v>191</v>
      </c>
      <c r="C72" s="1">
        <v>41968</v>
      </c>
      <c r="D72" t="s">
        <v>19</v>
      </c>
      <c r="E72" t="s">
        <v>20</v>
      </c>
      <c r="F72" t="s">
        <v>192</v>
      </c>
      <c r="G72" t="s">
        <v>107</v>
      </c>
      <c r="H72">
        <v>1520</v>
      </c>
      <c r="I72">
        <v>1</v>
      </c>
      <c r="K72">
        <v>1420.56</v>
      </c>
      <c r="L72">
        <v>7.0000000000000007E-2</v>
      </c>
      <c r="M72">
        <f t="shared" si="1"/>
        <v>1520</v>
      </c>
      <c r="O72">
        <v>99.44</v>
      </c>
      <c r="P72">
        <v>99.44</v>
      </c>
      <c r="Q72">
        <v>1520</v>
      </c>
      <c r="R72">
        <v>1520</v>
      </c>
    </row>
    <row r="73" spans="1:18" x14ac:dyDescent="0.25">
      <c r="A73" t="s">
        <v>193</v>
      </c>
      <c r="B73" t="s">
        <v>194</v>
      </c>
      <c r="C73" s="1">
        <v>41968</v>
      </c>
      <c r="D73" t="s">
        <v>93</v>
      </c>
      <c r="E73" t="s">
        <v>20</v>
      </c>
      <c r="F73" t="s">
        <v>195</v>
      </c>
      <c r="G73" t="s">
        <v>78</v>
      </c>
      <c r="H73">
        <v>2590</v>
      </c>
      <c r="I73">
        <v>1</v>
      </c>
      <c r="K73">
        <v>2420.56</v>
      </c>
      <c r="L73">
        <v>7.0000000000000007E-2</v>
      </c>
      <c r="M73">
        <f t="shared" si="1"/>
        <v>2590</v>
      </c>
      <c r="N73" t="b">
        <v>1</v>
      </c>
      <c r="O73">
        <v>169.44</v>
      </c>
      <c r="P73">
        <v>169.44</v>
      </c>
      <c r="Q73">
        <v>2590</v>
      </c>
      <c r="R73">
        <v>2590</v>
      </c>
    </row>
    <row r="74" spans="1:18" x14ac:dyDescent="0.25">
      <c r="A74" t="s">
        <v>196</v>
      </c>
      <c r="B74" t="s">
        <v>197</v>
      </c>
      <c r="C74" s="1">
        <v>41968</v>
      </c>
      <c r="D74" t="s">
        <v>93</v>
      </c>
      <c r="E74" t="s">
        <v>20</v>
      </c>
      <c r="F74" t="s">
        <v>198</v>
      </c>
      <c r="G74" t="s">
        <v>173</v>
      </c>
      <c r="H74">
        <v>499</v>
      </c>
      <c r="I74">
        <v>1</v>
      </c>
      <c r="K74">
        <v>466.36</v>
      </c>
      <c r="L74">
        <v>7.0000000000000007E-2</v>
      </c>
      <c r="M74">
        <f t="shared" si="1"/>
        <v>499</v>
      </c>
      <c r="N74" t="b">
        <v>1</v>
      </c>
      <c r="O74">
        <v>32.64</v>
      </c>
      <c r="P74">
        <v>32.64</v>
      </c>
      <c r="Q74">
        <v>499</v>
      </c>
      <c r="R74">
        <v>499</v>
      </c>
    </row>
    <row r="75" spans="1:18" x14ac:dyDescent="0.25">
      <c r="A75" t="s">
        <v>199</v>
      </c>
      <c r="B75" t="s">
        <v>200</v>
      </c>
      <c r="C75" s="1">
        <v>41968</v>
      </c>
      <c r="D75" t="s">
        <v>93</v>
      </c>
      <c r="E75" t="s">
        <v>201</v>
      </c>
      <c r="F75" t="s">
        <v>202</v>
      </c>
      <c r="G75" t="s">
        <v>203</v>
      </c>
      <c r="H75">
        <v>790</v>
      </c>
      <c r="I75">
        <v>1</v>
      </c>
      <c r="K75">
        <v>738.32</v>
      </c>
      <c r="L75">
        <v>7.0000000000000007E-2</v>
      </c>
      <c r="M75">
        <f t="shared" si="1"/>
        <v>790</v>
      </c>
      <c r="N75" t="b">
        <v>1</v>
      </c>
      <c r="O75">
        <v>51.68</v>
      </c>
      <c r="P75">
        <v>51.68</v>
      </c>
      <c r="Q75">
        <v>790</v>
      </c>
      <c r="R75">
        <v>790</v>
      </c>
    </row>
    <row r="76" spans="1:18" x14ac:dyDescent="0.25">
      <c r="A76" t="s">
        <v>204</v>
      </c>
      <c r="B76" t="s">
        <v>205</v>
      </c>
      <c r="C76" s="1">
        <v>41968</v>
      </c>
      <c r="D76" t="s">
        <v>58</v>
      </c>
      <c r="E76" t="s">
        <v>20</v>
      </c>
      <c r="F76" t="s">
        <v>206</v>
      </c>
      <c r="G76" t="s">
        <v>27</v>
      </c>
      <c r="H76">
        <v>765</v>
      </c>
      <c r="I76">
        <v>5</v>
      </c>
      <c r="K76">
        <v>3574.77</v>
      </c>
      <c r="L76">
        <v>7.0000000000000007E-2</v>
      </c>
      <c r="M76">
        <f t="shared" si="1"/>
        <v>3825</v>
      </c>
      <c r="O76">
        <v>2406.83</v>
      </c>
      <c r="P76">
        <v>2406.83</v>
      </c>
      <c r="Q76">
        <v>36790</v>
      </c>
      <c r="R76">
        <v>36790</v>
      </c>
    </row>
    <row r="77" spans="1:18" x14ac:dyDescent="0.25">
      <c r="A77" t="s">
        <v>207</v>
      </c>
      <c r="B77" t="s">
        <v>205</v>
      </c>
      <c r="C77" s="1">
        <v>41968</v>
      </c>
      <c r="D77" t="s">
        <v>58</v>
      </c>
      <c r="E77" t="s">
        <v>20</v>
      </c>
      <c r="F77" t="s">
        <v>206</v>
      </c>
      <c r="G77" t="s">
        <v>208</v>
      </c>
      <c r="H77">
        <v>765</v>
      </c>
      <c r="I77">
        <v>5</v>
      </c>
      <c r="K77">
        <v>3574.77</v>
      </c>
      <c r="L77">
        <v>7.0000000000000007E-2</v>
      </c>
      <c r="M77">
        <f t="shared" si="1"/>
        <v>3825</v>
      </c>
      <c r="O77">
        <v>2406.83</v>
      </c>
      <c r="P77">
        <v>2406.83</v>
      </c>
      <c r="Q77">
        <v>36790</v>
      </c>
      <c r="R77">
        <v>36790</v>
      </c>
    </row>
    <row r="78" spans="1:18" x14ac:dyDescent="0.25">
      <c r="A78" t="s">
        <v>209</v>
      </c>
      <c r="B78" t="s">
        <v>205</v>
      </c>
      <c r="C78" s="1">
        <v>41968</v>
      </c>
      <c r="D78" t="s">
        <v>58</v>
      </c>
      <c r="E78" t="s">
        <v>20</v>
      </c>
      <c r="F78" t="s">
        <v>206</v>
      </c>
      <c r="G78" t="s">
        <v>22</v>
      </c>
      <c r="H78">
        <v>995</v>
      </c>
      <c r="I78">
        <v>10</v>
      </c>
      <c r="K78">
        <v>9299.07</v>
      </c>
      <c r="L78">
        <v>7.0000000000000007E-2</v>
      </c>
      <c r="M78">
        <f t="shared" si="1"/>
        <v>9950</v>
      </c>
      <c r="O78">
        <v>2406.83</v>
      </c>
      <c r="P78">
        <v>2406.83</v>
      </c>
      <c r="Q78">
        <v>36790</v>
      </c>
      <c r="R78">
        <v>36790</v>
      </c>
    </row>
    <row r="79" spans="1:18" x14ac:dyDescent="0.25">
      <c r="A79" t="s">
        <v>210</v>
      </c>
      <c r="B79" t="s">
        <v>205</v>
      </c>
      <c r="C79" s="1">
        <v>41968</v>
      </c>
      <c r="D79" t="s">
        <v>58</v>
      </c>
      <c r="E79" t="s">
        <v>20</v>
      </c>
      <c r="F79" t="s">
        <v>206</v>
      </c>
      <c r="G79" t="s">
        <v>211</v>
      </c>
      <c r="H79">
        <v>450</v>
      </c>
      <c r="I79">
        <v>5</v>
      </c>
      <c r="K79">
        <v>2102.8000000000002</v>
      </c>
      <c r="L79">
        <v>7.0000000000000007E-2</v>
      </c>
      <c r="M79">
        <f t="shared" si="1"/>
        <v>2250</v>
      </c>
      <c r="O79">
        <v>2406.83</v>
      </c>
      <c r="P79">
        <v>2406.83</v>
      </c>
      <c r="Q79">
        <v>36790</v>
      </c>
      <c r="R79">
        <v>36790</v>
      </c>
    </row>
    <row r="80" spans="1:18" x14ac:dyDescent="0.25">
      <c r="A80" t="s">
        <v>212</v>
      </c>
      <c r="B80" t="s">
        <v>205</v>
      </c>
      <c r="C80" s="1">
        <v>41968</v>
      </c>
      <c r="D80" t="s">
        <v>58</v>
      </c>
      <c r="E80" t="s">
        <v>20</v>
      </c>
      <c r="F80" t="s">
        <v>206</v>
      </c>
      <c r="G80" t="s">
        <v>145</v>
      </c>
      <c r="H80">
        <v>465</v>
      </c>
      <c r="I80">
        <v>4</v>
      </c>
      <c r="K80">
        <v>1738.32</v>
      </c>
      <c r="L80">
        <v>7.0000000000000007E-2</v>
      </c>
      <c r="M80">
        <f t="shared" si="1"/>
        <v>1860</v>
      </c>
      <c r="O80">
        <v>2406.83</v>
      </c>
      <c r="P80">
        <v>2406.83</v>
      </c>
      <c r="Q80">
        <v>36790</v>
      </c>
      <c r="R80">
        <v>36790</v>
      </c>
    </row>
    <row r="81" spans="1:18" x14ac:dyDescent="0.25">
      <c r="A81" t="s">
        <v>213</v>
      </c>
      <c r="B81" t="s">
        <v>205</v>
      </c>
      <c r="C81" s="1">
        <v>41968</v>
      </c>
      <c r="D81" t="s">
        <v>58</v>
      </c>
      <c r="E81" t="s">
        <v>20</v>
      </c>
      <c r="F81" t="s">
        <v>206</v>
      </c>
      <c r="G81" t="s">
        <v>214</v>
      </c>
      <c r="H81">
        <v>545</v>
      </c>
      <c r="I81">
        <v>6</v>
      </c>
      <c r="K81">
        <v>3056.07</v>
      </c>
      <c r="L81">
        <v>7.0000000000000007E-2</v>
      </c>
      <c r="M81">
        <f t="shared" si="1"/>
        <v>3270</v>
      </c>
      <c r="O81">
        <v>2406.83</v>
      </c>
      <c r="P81">
        <v>2406.83</v>
      </c>
      <c r="Q81">
        <v>36790</v>
      </c>
      <c r="R81">
        <v>36790</v>
      </c>
    </row>
    <row r="82" spans="1:18" x14ac:dyDescent="0.25">
      <c r="A82" t="s">
        <v>215</v>
      </c>
      <c r="B82" t="s">
        <v>205</v>
      </c>
      <c r="C82" s="1">
        <v>41968</v>
      </c>
      <c r="D82" t="s">
        <v>58</v>
      </c>
      <c r="E82" t="s">
        <v>20</v>
      </c>
      <c r="F82" t="s">
        <v>206</v>
      </c>
      <c r="G82" t="s">
        <v>216</v>
      </c>
      <c r="H82">
        <v>545</v>
      </c>
      <c r="I82">
        <v>6</v>
      </c>
      <c r="K82">
        <v>3056.07</v>
      </c>
      <c r="L82">
        <v>7.0000000000000007E-2</v>
      </c>
      <c r="M82">
        <f t="shared" si="1"/>
        <v>3270</v>
      </c>
      <c r="O82">
        <v>2406.83</v>
      </c>
      <c r="P82">
        <v>2406.83</v>
      </c>
      <c r="Q82">
        <v>36790</v>
      </c>
      <c r="R82">
        <v>36790</v>
      </c>
    </row>
    <row r="83" spans="1:18" x14ac:dyDescent="0.25">
      <c r="A83" t="s">
        <v>217</v>
      </c>
      <c r="B83" t="s">
        <v>205</v>
      </c>
      <c r="C83" s="1">
        <v>41968</v>
      </c>
      <c r="D83" t="s">
        <v>58</v>
      </c>
      <c r="E83" t="s">
        <v>20</v>
      </c>
      <c r="F83" t="s">
        <v>206</v>
      </c>
      <c r="G83" t="s">
        <v>42</v>
      </c>
      <c r="H83">
        <v>760</v>
      </c>
      <c r="I83">
        <v>2</v>
      </c>
      <c r="K83">
        <v>1420.56</v>
      </c>
      <c r="L83">
        <v>7.0000000000000007E-2</v>
      </c>
      <c r="M83">
        <f>ROUND(K83*(1+L83),1)</f>
        <v>1520</v>
      </c>
      <c r="O83">
        <v>2406.83</v>
      </c>
      <c r="P83">
        <v>2406.83</v>
      </c>
      <c r="Q83">
        <v>36790</v>
      </c>
      <c r="R83">
        <v>36790</v>
      </c>
    </row>
    <row r="84" spans="1:18" x14ac:dyDescent="0.25">
      <c r="A84" t="s">
        <v>218</v>
      </c>
      <c r="B84" t="s">
        <v>205</v>
      </c>
      <c r="C84" s="1">
        <v>41968</v>
      </c>
      <c r="D84" t="s">
        <v>58</v>
      </c>
      <c r="E84" t="s">
        <v>20</v>
      </c>
      <c r="F84" t="s">
        <v>206</v>
      </c>
      <c r="G84" t="s">
        <v>42</v>
      </c>
      <c r="H84">
        <v>760</v>
      </c>
      <c r="I84">
        <v>2</v>
      </c>
      <c r="K84">
        <v>1420.56</v>
      </c>
      <c r="L84">
        <v>7.0000000000000007E-2</v>
      </c>
      <c r="M84">
        <f t="shared" si="1"/>
        <v>1520</v>
      </c>
      <c r="O84">
        <v>2406.83</v>
      </c>
      <c r="P84">
        <v>2406.83</v>
      </c>
      <c r="Q84">
        <v>36790</v>
      </c>
      <c r="R84">
        <v>36790</v>
      </c>
    </row>
    <row r="85" spans="1:18" x14ac:dyDescent="0.25">
      <c r="A85" t="s">
        <v>219</v>
      </c>
      <c r="B85" t="s">
        <v>205</v>
      </c>
      <c r="C85" s="1">
        <v>41968</v>
      </c>
      <c r="D85" t="s">
        <v>58</v>
      </c>
      <c r="E85" t="s">
        <v>20</v>
      </c>
      <c r="F85" t="s">
        <v>206</v>
      </c>
      <c r="G85" t="s">
        <v>50</v>
      </c>
      <c r="H85">
        <v>355</v>
      </c>
      <c r="I85">
        <v>2</v>
      </c>
      <c r="K85">
        <v>663.55</v>
      </c>
      <c r="L85">
        <v>7.0000000000000007E-2</v>
      </c>
      <c r="M85">
        <f t="shared" si="1"/>
        <v>710</v>
      </c>
      <c r="O85">
        <v>2406.83</v>
      </c>
      <c r="P85">
        <v>2406.83</v>
      </c>
      <c r="Q85">
        <v>36790</v>
      </c>
      <c r="R85">
        <v>36790</v>
      </c>
    </row>
    <row r="86" spans="1:18" x14ac:dyDescent="0.25">
      <c r="A86" t="s">
        <v>220</v>
      </c>
      <c r="B86" t="s">
        <v>205</v>
      </c>
      <c r="C86" s="1">
        <v>41968</v>
      </c>
      <c r="D86" t="s">
        <v>58</v>
      </c>
      <c r="E86" t="s">
        <v>20</v>
      </c>
      <c r="F86" t="s">
        <v>206</v>
      </c>
      <c r="G86" t="s">
        <v>115</v>
      </c>
      <c r="H86">
        <v>355</v>
      </c>
      <c r="I86">
        <v>2</v>
      </c>
      <c r="K86">
        <v>663.55</v>
      </c>
      <c r="L86">
        <v>7.0000000000000007E-2</v>
      </c>
      <c r="M86">
        <f t="shared" si="1"/>
        <v>710</v>
      </c>
      <c r="O86">
        <v>2406.83</v>
      </c>
      <c r="P86">
        <v>2406.83</v>
      </c>
      <c r="Q86">
        <v>36790</v>
      </c>
      <c r="R86">
        <v>36790</v>
      </c>
    </row>
    <row r="87" spans="1:18" x14ac:dyDescent="0.25">
      <c r="A87" t="s">
        <v>221</v>
      </c>
      <c r="B87" t="s">
        <v>205</v>
      </c>
      <c r="C87" s="1">
        <v>41968</v>
      </c>
      <c r="D87" t="s">
        <v>58</v>
      </c>
      <c r="E87" t="s">
        <v>20</v>
      </c>
      <c r="F87" t="s">
        <v>206</v>
      </c>
      <c r="G87" t="s">
        <v>222</v>
      </c>
      <c r="H87">
        <v>45</v>
      </c>
      <c r="I87">
        <v>12</v>
      </c>
      <c r="K87">
        <v>504.67</v>
      </c>
      <c r="L87">
        <v>7.0000000000000007E-2</v>
      </c>
      <c r="M87">
        <f t="shared" si="1"/>
        <v>540</v>
      </c>
      <c r="O87">
        <v>2406.83</v>
      </c>
      <c r="P87">
        <v>2406.83</v>
      </c>
      <c r="Q87">
        <v>36790</v>
      </c>
      <c r="R87">
        <v>36790</v>
      </c>
    </row>
    <row r="88" spans="1:18" x14ac:dyDescent="0.25">
      <c r="A88" t="s">
        <v>223</v>
      </c>
      <c r="B88" t="s">
        <v>205</v>
      </c>
      <c r="C88" s="1">
        <v>41968</v>
      </c>
      <c r="D88" t="s">
        <v>58</v>
      </c>
      <c r="E88" t="s">
        <v>20</v>
      </c>
      <c r="F88" t="s">
        <v>206</v>
      </c>
      <c r="G88" t="s">
        <v>224</v>
      </c>
      <c r="H88">
        <v>45</v>
      </c>
      <c r="I88">
        <v>12</v>
      </c>
      <c r="K88">
        <v>504.67</v>
      </c>
      <c r="L88">
        <v>7.0000000000000007E-2</v>
      </c>
      <c r="M88">
        <f t="shared" si="1"/>
        <v>540</v>
      </c>
      <c r="O88">
        <v>2406.83</v>
      </c>
      <c r="P88">
        <v>2406.83</v>
      </c>
      <c r="Q88">
        <v>36790</v>
      </c>
      <c r="R88">
        <v>36790</v>
      </c>
    </row>
    <row r="89" spans="1:18" x14ac:dyDescent="0.25">
      <c r="A89" t="s">
        <v>225</v>
      </c>
      <c r="B89" t="s">
        <v>205</v>
      </c>
      <c r="C89" s="1">
        <v>41968</v>
      </c>
      <c r="D89" t="s">
        <v>58</v>
      </c>
      <c r="E89" t="s">
        <v>20</v>
      </c>
      <c r="F89" t="s">
        <v>206</v>
      </c>
      <c r="G89" t="s">
        <v>226</v>
      </c>
      <c r="H89">
        <v>45</v>
      </c>
      <c r="I89">
        <v>12</v>
      </c>
      <c r="K89">
        <v>504.67</v>
      </c>
      <c r="L89">
        <v>7.0000000000000007E-2</v>
      </c>
      <c r="M89">
        <f t="shared" si="1"/>
        <v>540</v>
      </c>
      <c r="O89">
        <v>2406.83</v>
      </c>
      <c r="P89">
        <v>2406.83</v>
      </c>
      <c r="Q89">
        <v>36790</v>
      </c>
      <c r="R89">
        <v>36790</v>
      </c>
    </row>
    <row r="90" spans="1:18" x14ac:dyDescent="0.25">
      <c r="A90" t="s">
        <v>227</v>
      </c>
      <c r="B90" t="s">
        <v>205</v>
      </c>
      <c r="C90" s="1">
        <v>41968</v>
      </c>
      <c r="D90" t="s">
        <v>58</v>
      </c>
      <c r="E90" t="s">
        <v>20</v>
      </c>
      <c r="F90" t="s">
        <v>206</v>
      </c>
      <c r="G90" t="s">
        <v>228</v>
      </c>
      <c r="H90">
        <v>45</v>
      </c>
      <c r="I90">
        <v>12</v>
      </c>
      <c r="K90">
        <v>504.67</v>
      </c>
      <c r="L90">
        <v>7.0000000000000007E-2</v>
      </c>
      <c r="M90">
        <f t="shared" si="1"/>
        <v>540</v>
      </c>
      <c r="O90">
        <v>2406.83</v>
      </c>
      <c r="P90">
        <v>2406.83</v>
      </c>
      <c r="Q90">
        <v>36790</v>
      </c>
      <c r="R90">
        <v>36790</v>
      </c>
    </row>
    <row r="91" spans="1:18" x14ac:dyDescent="0.25">
      <c r="A91" t="s">
        <v>229</v>
      </c>
      <c r="B91" t="s">
        <v>205</v>
      </c>
      <c r="C91" s="1">
        <v>41968</v>
      </c>
      <c r="D91" t="s">
        <v>58</v>
      </c>
      <c r="E91" t="s">
        <v>20</v>
      </c>
      <c r="F91" t="s">
        <v>206</v>
      </c>
      <c r="G91" t="s">
        <v>149</v>
      </c>
      <c r="H91">
        <v>480</v>
      </c>
      <c r="I91">
        <v>2</v>
      </c>
      <c r="K91">
        <v>897.2</v>
      </c>
      <c r="L91">
        <v>7.0000000000000007E-2</v>
      </c>
      <c r="M91">
        <f t="shared" si="1"/>
        <v>960</v>
      </c>
      <c r="O91">
        <v>2406.83</v>
      </c>
      <c r="P91">
        <v>2406.83</v>
      </c>
      <c r="Q91">
        <v>36790</v>
      </c>
      <c r="R91">
        <v>36790</v>
      </c>
    </row>
    <row r="92" spans="1:18" x14ac:dyDescent="0.25">
      <c r="A92" t="s">
        <v>230</v>
      </c>
      <c r="B92" t="s">
        <v>205</v>
      </c>
      <c r="C92" s="1">
        <v>41968</v>
      </c>
      <c r="D92" t="s">
        <v>58</v>
      </c>
      <c r="E92" t="s">
        <v>20</v>
      </c>
      <c r="F92" t="s">
        <v>206</v>
      </c>
      <c r="G92" t="s">
        <v>175</v>
      </c>
      <c r="H92">
        <v>480</v>
      </c>
      <c r="I92">
        <v>2</v>
      </c>
      <c r="K92">
        <v>897.2</v>
      </c>
      <c r="L92">
        <v>7.0000000000000007E-2</v>
      </c>
      <c r="M92">
        <f t="shared" si="1"/>
        <v>960</v>
      </c>
      <c r="O92">
        <v>2406.83</v>
      </c>
      <c r="P92">
        <v>2406.83</v>
      </c>
      <c r="Q92">
        <v>36790</v>
      </c>
      <c r="R92">
        <v>36790</v>
      </c>
    </row>
    <row r="93" spans="1:18" x14ac:dyDescent="0.25">
      <c r="A93" t="s">
        <v>231</v>
      </c>
      <c r="B93" t="s">
        <v>232</v>
      </c>
      <c r="C93" s="1">
        <v>41968</v>
      </c>
      <c r="D93" t="s">
        <v>58</v>
      </c>
      <c r="E93" t="s">
        <v>20</v>
      </c>
      <c r="F93" t="s">
        <v>233</v>
      </c>
      <c r="G93" t="s">
        <v>234</v>
      </c>
      <c r="H93">
        <v>81.84</v>
      </c>
      <c r="I93">
        <v>1020</v>
      </c>
      <c r="K93">
        <v>78015.7</v>
      </c>
      <c r="L93">
        <v>7.0000000000000007E-2</v>
      </c>
      <c r="M93">
        <f t="shared" si="1"/>
        <v>83476.800000000003</v>
      </c>
      <c r="O93">
        <v>10304.540000000001</v>
      </c>
      <c r="P93">
        <v>10304.540000000001</v>
      </c>
      <c r="Q93">
        <v>157512.24</v>
      </c>
      <c r="R93">
        <v>157512.24</v>
      </c>
    </row>
    <row r="94" spans="1:18" x14ac:dyDescent="0.25">
      <c r="A94" t="s">
        <v>235</v>
      </c>
      <c r="B94" t="s">
        <v>232</v>
      </c>
      <c r="C94" s="1">
        <v>41968</v>
      </c>
      <c r="D94" t="s">
        <v>58</v>
      </c>
      <c r="E94" t="s">
        <v>20</v>
      </c>
      <c r="F94" t="s">
        <v>233</v>
      </c>
      <c r="G94" t="s">
        <v>86</v>
      </c>
      <c r="H94">
        <v>99.51</v>
      </c>
      <c r="I94">
        <v>744</v>
      </c>
      <c r="K94">
        <v>69192</v>
      </c>
      <c r="L94">
        <v>7.0000000000000007E-2</v>
      </c>
      <c r="M94">
        <f t="shared" si="1"/>
        <v>74035.399999999994</v>
      </c>
      <c r="O94">
        <v>10304.540000000001</v>
      </c>
      <c r="P94">
        <v>10304.540000000001</v>
      </c>
      <c r="Q94">
        <v>157512.24</v>
      </c>
      <c r="R94">
        <v>157512.24</v>
      </c>
    </row>
    <row r="95" spans="1:18" x14ac:dyDescent="0.25">
      <c r="A95" t="s">
        <v>236</v>
      </c>
      <c r="B95" t="s">
        <v>237</v>
      </c>
      <c r="C95" s="1">
        <v>41968</v>
      </c>
      <c r="D95" t="s">
        <v>93</v>
      </c>
      <c r="E95" t="s">
        <v>238</v>
      </c>
      <c r="F95" t="s">
        <v>239</v>
      </c>
      <c r="G95" t="s">
        <v>123</v>
      </c>
      <c r="H95">
        <v>1390</v>
      </c>
      <c r="I95">
        <v>12</v>
      </c>
      <c r="J95">
        <v>490</v>
      </c>
      <c r="K95">
        <v>10093.459999999999</v>
      </c>
      <c r="L95">
        <v>7.0000000000000007E-2</v>
      </c>
      <c r="M95">
        <f t="shared" si="1"/>
        <v>10800</v>
      </c>
      <c r="N95" t="b">
        <v>1</v>
      </c>
      <c r="O95">
        <v>1413.08</v>
      </c>
      <c r="P95">
        <v>1413.08</v>
      </c>
      <c r="Q95">
        <v>21600</v>
      </c>
      <c r="R95">
        <v>21600</v>
      </c>
    </row>
    <row r="96" spans="1:18" x14ac:dyDescent="0.25">
      <c r="A96" t="s">
        <v>240</v>
      </c>
      <c r="B96" t="s">
        <v>237</v>
      </c>
      <c r="C96" s="1">
        <v>41968</v>
      </c>
      <c r="D96" t="s">
        <v>93</v>
      </c>
      <c r="E96" t="s">
        <v>238</v>
      </c>
      <c r="F96" t="s">
        <v>239</v>
      </c>
      <c r="G96" t="s">
        <v>125</v>
      </c>
      <c r="H96">
        <v>1390</v>
      </c>
      <c r="I96">
        <v>12</v>
      </c>
      <c r="J96">
        <v>490</v>
      </c>
      <c r="K96">
        <v>10093.459999999999</v>
      </c>
      <c r="L96">
        <v>7.0000000000000007E-2</v>
      </c>
      <c r="M96">
        <f t="shared" si="1"/>
        <v>10800</v>
      </c>
      <c r="N96" t="b">
        <v>1</v>
      </c>
      <c r="O96">
        <v>1413.08</v>
      </c>
      <c r="P96">
        <v>1413.08</v>
      </c>
      <c r="Q96">
        <v>21600</v>
      </c>
      <c r="R96">
        <v>21600</v>
      </c>
    </row>
    <row r="97" spans="1:18" x14ac:dyDescent="0.25">
      <c r="A97" t="s">
        <v>241</v>
      </c>
      <c r="B97" t="s">
        <v>242</v>
      </c>
      <c r="C97" s="1">
        <v>41967</v>
      </c>
      <c r="D97" t="s">
        <v>93</v>
      </c>
      <c r="E97" t="s">
        <v>20</v>
      </c>
      <c r="F97" t="s">
        <v>243</v>
      </c>
      <c r="G97" t="s">
        <v>31</v>
      </c>
      <c r="H97">
        <v>990</v>
      </c>
      <c r="I97">
        <v>1</v>
      </c>
      <c r="K97">
        <v>925.23</v>
      </c>
      <c r="L97">
        <v>7.0000000000000007E-2</v>
      </c>
      <c r="M97">
        <f t="shared" si="1"/>
        <v>990</v>
      </c>
      <c r="N97" t="b">
        <v>1</v>
      </c>
      <c r="O97">
        <v>64.77</v>
      </c>
      <c r="P97">
        <v>64.77</v>
      </c>
      <c r="Q97">
        <v>990</v>
      </c>
      <c r="R97">
        <v>990</v>
      </c>
    </row>
    <row r="98" spans="1:18" x14ac:dyDescent="0.25">
      <c r="A98" t="s">
        <v>244</v>
      </c>
      <c r="B98" t="s">
        <v>245</v>
      </c>
      <c r="C98" s="1">
        <v>41967</v>
      </c>
      <c r="D98" t="s">
        <v>93</v>
      </c>
      <c r="E98" t="s">
        <v>20</v>
      </c>
      <c r="F98" t="s">
        <v>246</v>
      </c>
      <c r="G98" t="s">
        <v>125</v>
      </c>
      <c r="H98">
        <v>1990</v>
      </c>
      <c r="I98">
        <v>1</v>
      </c>
      <c r="K98">
        <v>1859.81</v>
      </c>
      <c r="L98">
        <v>7.0000000000000007E-2</v>
      </c>
      <c r="M98">
        <f t="shared" si="1"/>
        <v>1990</v>
      </c>
      <c r="N98" t="b">
        <v>1</v>
      </c>
      <c r="O98">
        <v>130.19</v>
      </c>
      <c r="P98">
        <v>130.19</v>
      </c>
      <c r="Q98">
        <v>1990</v>
      </c>
      <c r="R98">
        <v>1990</v>
      </c>
    </row>
    <row r="99" spans="1:18" x14ac:dyDescent="0.25">
      <c r="A99" t="s">
        <v>247</v>
      </c>
      <c r="B99" t="s">
        <v>248</v>
      </c>
      <c r="C99" s="1">
        <v>41967</v>
      </c>
      <c r="D99" t="s">
        <v>93</v>
      </c>
      <c r="E99" t="s">
        <v>20</v>
      </c>
      <c r="F99" t="s">
        <v>249</v>
      </c>
      <c r="G99" t="s">
        <v>62</v>
      </c>
      <c r="H99">
        <v>450</v>
      </c>
      <c r="I99">
        <v>1</v>
      </c>
      <c r="J99">
        <v>60</v>
      </c>
      <c r="K99">
        <v>364.49</v>
      </c>
      <c r="L99">
        <v>7.0000000000000007E-2</v>
      </c>
      <c r="M99">
        <f t="shared" si="1"/>
        <v>390</v>
      </c>
      <c r="N99" t="b">
        <v>1</v>
      </c>
      <c r="O99">
        <v>25.51</v>
      </c>
      <c r="P99">
        <v>25.51</v>
      </c>
      <c r="Q99">
        <v>390</v>
      </c>
      <c r="R99">
        <v>390</v>
      </c>
    </row>
    <row r="100" spans="1:18" x14ac:dyDescent="0.25">
      <c r="A100" t="s">
        <v>250</v>
      </c>
      <c r="B100" t="s">
        <v>251</v>
      </c>
      <c r="C100" s="1">
        <v>41967</v>
      </c>
      <c r="D100" t="s">
        <v>93</v>
      </c>
      <c r="E100" t="s">
        <v>20</v>
      </c>
      <c r="F100" t="s">
        <v>252</v>
      </c>
      <c r="G100" t="s">
        <v>60</v>
      </c>
      <c r="H100">
        <v>450</v>
      </c>
      <c r="I100">
        <v>1</v>
      </c>
      <c r="J100">
        <v>60</v>
      </c>
      <c r="K100">
        <v>364.49</v>
      </c>
      <c r="L100">
        <v>7.0000000000000007E-2</v>
      </c>
      <c r="M100">
        <f t="shared" si="1"/>
        <v>390</v>
      </c>
      <c r="N100" t="b">
        <v>1</v>
      </c>
      <c r="O100">
        <v>25.51</v>
      </c>
      <c r="P100">
        <v>25.51</v>
      </c>
      <c r="Q100">
        <v>390</v>
      </c>
      <c r="R100">
        <v>390</v>
      </c>
    </row>
    <row r="101" spans="1:18" x14ac:dyDescent="0.25">
      <c r="A101" t="s">
        <v>253</v>
      </c>
      <c r="B101" t="s">
        <v>254</v>
      </c>
      <c r="C101" s="1">
        <v>41967</v>
      </c>
      <c r="D101" t="s">
        <v>93</v>
      </c>
      <c r="E101" t="s">
        <v>20</v>
      </c>
      <c r="F101" t="s">
        <v>255</v>
      </c>
      <c r="G101" t="s">
        <v>173</v>
      </c>
      <c r="H101">
        <v>499</v>
      </c>
      <c r="I101">
        <v>1</v>
      </c>
      <c r="K101">
        <v>466.36</v>
      </c>
      <c r="L101">
        <v>7.0000000000000007E-2</v>
      </c>
      <c r="M101">
        <f t="shared" si="1"/>
        <v>499</v>
      </c>
      <c r="N101" t="b">
        <v>1</v>
      </c>
      <c r="O101">
        <v>32.64</v>
      </c>
      <c r="P101">
        <v>32.64</v>
      </c>
      <c r="Q101">
        <v>499</v>
      </c>
      <c r="R101">
        <v>499</v>
      </c>
    </row>
    <row r="102" spans="1:18" x14ac:dyDescent="0.25">
      <c r="A102" t="s">
        <v>256</v>
      </c>
      <c r="B102" t="s">
        <v>257</v>
      </c>
      <c r="C102" s="1">
        <v>41967</v>
      </c>
      <c r="D102" t="s">
        <v>93</v>
      </c>
      <c r="E102" t="s">
        <v>20</v>
      </c>
      <c r="F102" t="s">
        <v>258</v>
      </c>
      <c r="G102" t="s">
        <v>259</v>
      </c>
      <c r="H102">
        <v>890</v>
      </c>
      <c r="I102">
        <v>1</v>
      </c>
      <c r="K102">
        <v>831.78</v>
      </c>
      <c r="L102">
        <v>7.0000000000000007E-2</v>
      </c>
      <c r="M102">
        <f t="shared" si="1"/>
        <v>890</v>
      </c>
      <c r="N102" t="b">
        <v>1</v>
      </c>
      <c r="O102">
        <v>58.22</v>
      </c>
      <c r="P102">
        <v>58.22</v>
      </c>
      <c r="Q102">
        <v>890</v>
      </c>
      <c r="R102">
        <v>890</v>
      </c>
    </row>
    <row r="103" spans="1:18" x14ac:dyDescent="0.25">
      <c r="A103" t="s">
        <v>260</v>
      </c>
      <c r="B103" t="s">
        <v>261</v>
      </c>
      <c r="C103" s="1">
        <v>41967</v>
      </c>
      <c r="D103" t="s">
        <v>93</v>
      </c>
      <c r="E103" t="s">
        <v>20</v>
      </c>
      <c r="F103" t="s">
        <v>262</v>
      </c>
      <c r="G103" t="s">
        <v>208</v>
      </c>
      <c r="H103">
        <v>990</v>
      </c>
      <c r="I103">
        <v>1</v>
      </c>
      <c r="K103">
        <v>925.23</v>
      </c>
      <c r="L103">
        <v>7.0000000000000007E-2</v>
      </c>
      <c r="M103">
        <f t="shared" si="1"/>
        <v>990</v>
      </c>
      <c r="N103" t="b">
        <v>1</v>
      </c>
      <c r="O103">
        <v>64.77</v>
      </c>
      <c r="P103">
        <v>64.77</v>
      </c>
      <c r="Q103">
        <v>990</v>
      </c>
      <c r="R103">
        <v>990</v>
      </c>
    </row>
    <row r="104" spans="1:18" x14ac:dyDescent="0.25">
      <c r="A104" t="s">
        <v>263</v>
      </c>
      <c r="B104" t="s">
        <v>264</v>
      </c>
      <c r="C104" s="1">
        <v>41967</v>
      </c>
      <c r="D104" t="s">
        <v>93</v>
      </c>
      <c r="E104" t="s">
        <v>20</v>
      </c>
      <c r="F104" t="s">
        <v>265</v>
      </c>
      <c r="G104" t="s">
        <v>50</v>
      </c>
      <c r="H104">
        <v>790</v>
      </c>
      <c r="I104">
        <v>1</v>
      </c>
      <c r="J104">
        <v>100</v>
      </c>
      <c r="K104">
        <v>644.86</v>
      </c>
      <c r="L104">
        <v>7.0000000000000007E-2</v>
      </c>
      <c r="M104">
        <f t="shared" si="1"/>
        <v>690</v>
      </c>
      <c r="N104" t="b">
        <v>1</v>
      </c>
      <c r="O104">
        <v>45.14</v>
      </c>
      <c r="P104">
        <v>45.14</v>
      </c>
      <c r="Q104">
        <v>690</v>
      </c>
      <c r="R104">
        <v>690</v>
      </c>
    </row>
    <row r="105" spans="1:18" x14ac:dyDescent="0.25">
      <c r="A105" t="s">
        <v>266</v>
      </c>
      <c r="B105" t="s">
        <v>267</v>
      </c>
      <c r="C105" s="1">
        <v>41967</v>
      </c>
      <c r="D105" t="s">
        <v>93</v>
      </c>
      <c r="E105" t="s">
        <v>20</v>
      </c>
      <c r="F105" t="s">
        <v>268</v>
      </c>
      <c r="G105" t="s">
        <v>203</v>
      </c>
      <c r="H105">
        <v>950</v>
      </c>
      <c r="I105">
        <v>1</v>
      </c>
      <c r="K105">
        <v>887.85</v>
      </c>
      <c r="L105">
        <v>7.0000000000000007E-2</v>
      </c>
      <c r="M105">
        <f t="shared" si="1"/>
        <v>950</v>
      </c>
      <c r="N105" t="b">
        <v>1</v>
      </c>
      <c r="O105">
        <v>62.15</v>
      </c>
      <c r="P105">
        <v>62.15</v>
      </c>
      <c r="Q105">
        <v>950</v>
      </c>
      <c r="R105">
        <v>950</v>
      </c>
    </row>
    <row r="106" spans="1:18" x14ac:dyDescent="0.25">
      <c r="A106" t="s">
        <v>269</v>
      </c>
      <c r="B106" t="s">
        <v>267</v>
      </c>
      <c r="C106" s="1">
        <v>41967</v>
      </c>
      <c r="D106" t="s">
        <v>93</v>
      </c>
      <c r="E106" t="s">
        <v>20</v>
      </c>
      <c r="F106" t="s">
        <v>268</v>
      </c>
      <c r="G106" t="s">
        <v>99</v>
      </c>
      <c r="H106">
        <v>220</v>
      </c>
      <c r="I106">
        <v>1</v>
      </c>
      <c r="J106">
        <v>220</v>
      </c>
      <c r="L106">
        <v>7.0000000000000007E-2</v>
      </c>
      <c r="M106">
        <f t="shared" si="1"/>
        <v>0</v>
      </c>
      <c r="N106" t="b">
        <v>1</v>
      </c>
      <c r="O106">
        <v>62.15</v>
      </c>
      <c r="P106">
        <v>62.15</v>
      </c>
      <c r="Q106">
        <v>950</v>
      </c>
      <c r="R106">
        <v>950</v>
      </c>
    </row>
    <row r="107" spans="1:18" x14ac:dyDescent="0.25">
      <c r="A107" t="s">
        <v>270</v>
      </c>
      <c r="B107" t="s">
        <v>271</v>
      </c>
      <c r="C107" s="1">
        <v>41967</v>
      </c>
      <c r="D107" t="s">
        <v>93</v>
      </c>
      <c r="E107" t="s">
        <v>20</v>
      </c>
      <c r="F107" t="s">
        <v>272</v>
      </c>
      <c r="G107" t="s">
        <v>273</v>
      </c>
      <c r="H107">
        <v>51.35</v>
      </c>
      <c r="I107">
        <v>100</v>
      </c>
      <c r="K107">
        <v>4799.07</v>
      </c>
      <c r="L107">
        <v>7.0000000000000007E-2</v>
      </c>
      <c r="M107">
        <f t="shared" si="1"/>
        <v>5135</v>
      </c>
      <c r="N107" t="b">
        <v>1</v>
      </c>
      <c r="O107">
        <v>335.93</v>
      </c>
      <c r="P107">
        <v>335.93</v>
      </c>
      <c r="Q107">
        <v>5135</v>
      </c>
      <c r="R107">
        <v>5135</v>
      </c>
    </row>
    <row r="108" spans="1:18" x14ac:dyDescent="0.25">
      <c r="A108" t="s">
        <v>274</v>
      </c>
      <c r="B108" t="s">
        <v>275</v>
      </c>
      <c r="C108" s="1">
        <v>41967</v>
      </c>
      <c r="D108" t="s">
        <v>58</v>
      </c>
      <c r="E108" t="s">
        <v>53</v>
      </c>
      <c r="F108" t="s">
        <v>276</v>
      </c>
      <c r="G108" t="s">
        <v>55</v>
      </c>
      <c r="H108">
        <v>1290</v>
      </c>
      <c r="I108">
        <v>4</v>
      </c>
      <c r="J108">
        <v>690</v>
      </c>
      <c r="K108">
        <v>2242.9899999999998</v>
      </c>
      <c r="L108">
        <v>7.0000000000000007E-2</v>
      </c>
      <c r="M108">
        <f t="shared" si="1"/>
        <v>2400</v>
      </c>
      <c r="O108">
        <v>157.01</v>
      </c>
      <c r="P108">
        <v>157.01</v>
      </c>
      <c r="Q108">
        <v>2400</v>
      </c>
      <c r="R108">
        <v>2400</v>
      </c>
    </row>
    <row r="109" spans="1:18" x14ac:dyDescent="0.25">
      <c r="A109" t="s">
        <v>277</v>
      </c>
      <c r="B109" t="s">
        <v>278</v>
      </c>
      <c r="C109" s="1">
        <v>41967</v>
      </c>
      <c r="D109" t="s">
        <v>93</v>
      </c>
      <c r="E109" t="s">
        <v>53</v>
      </c>
      <c r="F109" t="s">
        <v>279</v>
      </c>
      <c r="G109" t="s">
        <v>145</v>
      </c>
      <c r="H109">
        <v>690</v>
      </c>
      <c r="I109">
        <v>6</v>
      </c>
      <c r="J109">
        <v>140</v>
      </c>
      <c r="K109">
        <v>3084.11</v>
      </c>
      <c r="L109">
        <v>7.0000000000000007E-2</v>
      </c>
      <c r="M109">
        <f t="shared" si="1"/>
        <v>3300</v>
      </c>
      <c r="N109" t="b">
        <v>1</v>
      </c>
      <c r="O109">
        <v>836.73</v>
      </c>
      <c r="P109">
        <v>836.73</v>
      </c>
      <c r="Q109">
        <v>12790</v>
      </c>
      <c r="R109">
        <v>12790</v>
      </c>
    </row>
    <row r="110" spans="1:18" x14ac:dyDescent="0.25">
      <c r="A110" t="s">
        <v>280</v>
      </c>
      <c r="B110" t="s">
        <v>278</v>
      </c>
      <c r="C110" s="1">
        <v>41967</v>
      </c>
      <c r="D110" t="s">
        <v>93</v>
      </c>
      <c r="E110" t="s">
        <v>53</v>
      </c>
      <c r="F110" t="s">
        <v>279</v>
      </c>
      <c r="G110" t="s">
        <v>143</v>
      </c>
      <c r="H110">
        <v>690</v>
      </c>
      <c r="I110">
        <v>6</v>
      </c>
      <c r="J110">
        <v>140</v>
      </c>
      <c r="K110">
        <v>3084.11</v>
      </c>
      <c r="L110">
        <v>7.0000000000000007E-2</v>
      </c>
      <c r="M110">
        <f t="shared" si="1"/>
        <v>3300</v>
      </c>
      <c r="N110" t="b">
        <v>1</v>
      </c>
      <c r="O110">
        <v>836.73</v>
      </c>
      <c r="P110">
        <v>836.73</v>
      </c>
      <c r="Q110">
        <v>12790</v>
      </c>
      <c r="R110">
        <v>12790</v>
      </c>
    </row>
    <row r="111" spans="1:18" x14ac:dyDescent="0.25">
      <c r="A111" t="s">
        <v>281</v>
      </c>
      <c r="B111" t="s">
        <v>278</v>
      </c>
      <c r="C111" s="1">
        <v>41967</v>
      </c>
      <c r="D111" t="s">
        <v>93</v>
      </c>
      <c r="E111" t="s">
        <v>53</v>
      </c>
      <c r="F111" t="s">
        <v>279</v>
      </c>
      <c r="G111" t="s">
        <v>38</v>
      </c>
      <c r="H111">
        <v>970</v>
      </c>
      <c r="I111">
        <v>2</v>
      </c>
      <c r="J111">
        <v>255</v>
      </c>
      <c r="K111">
        <v>1336.45</v>
      </c>
      <c r="L111">
        <v>7.0000000000000007E-2</v>
      </c>
      <c r="M111">
        <f t="shared" si="1"/>
        <v>1430</v>
      </c>
      <c r="N111" t="b">
        <v>1</v>
      </c>
      <c r="O111">
        <v>836.73</v>
      </c>
      <c r="P111">
        <v>836.73</v>
      </c>
      <c r="Q111">
        <v>12790</v>
      </c>
      <c r="R111">
        <v>12790</v>
      </c>
    </row>
    <row r="112" spans="1:18" x14ac:dyDescent="0.25">
      <c r="A112" t="s">
        <v>282</v>
      </c>
      <c r="B112" t="s">
        <v>278</v>
      </c>
      <c r="C112" s="1">
        <v>41967</v>
      </c>
      <c r="D112" t="s">
        <v>93</v>
      </c>
      <c r="E112" t="s">
        <v>53</v>
      </c>
      <c r="F112" t="s">
        <v>279</v>
      </c>
      <c r="G112" t="s">
        <v>283</v>
      </c>
      <c r="H112">
        <v>970</v>
      </c>
      <c r="I112">
        <v>2</v>
      </c>
      <c r="J112">
        <v>255</v>
      </c>
      <c r="K112">
        <v>1336.45</v>
      </c>
      <c r="L112">
        <v>7.0000000000000007E-2</v>
      </c>
      <c r="M112">
        <f t="shared" si="1"/>
        <v>1430</v>
      </c>
      <c r="N112" t="b">
        <v>1</v>
      </c>
      <c r="O112">
        <v>836.73</v>
      </c>
      <c r="P112">
        <v>836.73</v>
      </c>
      <c r="Q112">
        <v>12790</v>
      </c>
      <c r="R112">
        <v>12790</v>
      </c>
    </row>
    <row r="113" spans="1:18" x14ac:dyDescent="0.25">
      <c r="A113" t="s">
        <v>284</v>
      </c>
      <c r="B113" t="s">
        <v>278</v>
      </c>
      <c r="C113" s="1">
        <v>41967</v>
      </c>
      <c r="D113" t="s">
        <v>93</v>
      </c>
      <c r="E113" t="s">
        <v>53</v>
      </c>
      <c r="F113" t="s">
        <v>279</v>
      </c>
      <c r="G113" t="s">
        <v>285</v>
      </c>
      <c r="H113">
        <v>970</v>
      </c>
      <c r="I113">
        <v>2</v>
      </c>
      <c r="J113">
        <v>255</v>
      </c>
      <c r="K113">
        <v>1336.45</v>
      </c>
      <c r="L113">
        <v>7.0000000000000007E-2</v>
      </c>
      <c r="M113">
        <f t="shared" si="1"/>
        <v>1430</v>
      </c>
      <c r="N113" t="b">
        <v>1</v>
      </c>
      <c r="O113">
        <v>836.73</v>
      </c>
      <c r="P113">
        <v>836.73</v>
      </c>
      <c r="Q113">
        <v>12790</v>
      </c>
      <c r="R113">
        <v>12790</v>
      </c>
    </row>
    <row r="114" spans="1:18" x14ac:dyDescent="0.25">
      <c r="A114" t="s">
        <v>286</v>
      </c>
      <c r="B114" t="s">
        <v>278</v>
      </c>
      <c r="C114" s="1">
        <v>41967</v>
      </c>
      <c r="D114" t="s">
        <v>93</v>
      </c>
      <c r="E114" t="s">
        <v>53</v>
      </c>
      <c r="F114" t="s">
        <v>279</v>
      </c>
      <c r="G114" t="s">
        <v>42</v>
      </c>
      <c r="H114">
        <v>1180</v>
      </c>
      <c r="I114">
        <v>1</v>
      </c>
      <c r="J114">
        <v>230</v>
      </c>
      <c r="K114">
        <v>887.85</v>
      </c>
      <c r="L114">
        <v>7.0000000000000007E-2</v>
      </c>
      <c r="M114">
        <f t="shared" si="1"/>
        <v>950</v>
      </c>
      <c r="N114" t="b">
        <v>1</v>
      </c>
      <c r="O114">
        <v>836.73</v>
      </c>
      <c r="P114">
        <v>836.73</v>
      </c>
      <c r="Q114">
        <v>12790</v>
      </c>
      <c r="R114">
        <v>12790</v>
      </c>
    </row>
    <row r="115" spans="1:18" x14ac:dyDescent="0.25">
      <c r="A115" t="s">
        <v>287</v>
      </c>
      <c r="B115" t="s">
        <v>278</v>
      </c>
      <c r="C115" s="1">
        <v>41967</v>
      </c>
      <c r="D115" t="s">
        <v>93</v>
      </c>
      <c r="E115" t="s">
        <v>53</v>
      </c>
      <c r="F115" t="s">
        <v>279</v>
      </c>
      <c r="G115" t="s">
        <v>288</v>
      </c>
      <c r="H115">
        <v>1180</v>
      </c>
      <c r="I115">
        <v>1</v>
      </c>
      <c r="J115">
        <v>230</v>
      </c>
      <c r="K115">
        <v>887.85</v>
      </c>
      <c r="L115">
        <v>7.0000000000000007E-2</v>
      </c>
      <c r="M115">
        <f t="shared" si="1"/>
        <v>950</v>
      </c>
      <c r="N115" t="b">
        <v>1</v>
      </c>
      <c r="O115">
        <v>836.73</v>
      </c>
      <c r="P115">
        <v>836.73</v>
      </c>
      <c r="Q115">
        <v>12790</v>
      </c>
      <c r="R115">
        <v>12790</v>
      </c>
    </row>
    <row r="116" spans="1:18" x14ac:dyDescent="0.25">
      <c r="A116" t="s">
        <v>289</v>
      </c>
      <c r="B116" t="s">
        <v>290</v>
      </c>
      <c r="C116" s="1">
        <v>41967</v>
      </c>
      <c r="D116" t="s">
        <v>58</v>
      </c>
      <c r="E116" t="s">
        <v>53</v>
      </c>
      <c r="F116" t="s">
        <v>291</v>
      </c>
      <c r="G116" t="s">
        <v>173</v>
      </c>
      <c r="H116">
        <v>390</v>
      </c>
      <c r="I116">
        <v>6</v>
      </c>
      <c r="J116">
        <v>170</v>
      </c>
      <c r="K116">
        <v>1233.6400000000001</v>
      </c>
      <c r="L116">
        <v>7.0000000000000007E-2</v>
      </c>
      <c r="M116">
        <f t="shared" si="1"/>
        <v>1320</v>
      </c>
      <c r="O116">
        <v>263</v>
      </c>
      <c r="P116">
        <v>263</v>
      </c>
      <c r="Q116">
        <v>4020</v>
      </c>
      <c r="R116">
        <v>4020</v>
      </c>
    </row>
    <row r="117" spans="1:18" x14ac:dyDescent="0.25">
      <c r="A117" t="s">
        <v>292</v>
      </c>
      <c r="B117" t="s">
        <v>290</v>
      </c>
      <c r="C117" s="1">
        <v>41967</v>
      </c>
      <c r="D117" t="s">
        <v>58</v>
      </c>
      <c r="E117" t="s">
        <v>53</v>
      </c>
      <c r="F117" t="s">
        <v>291</v>
      </c>
      <c r="G117" t="s">
        <v>123</v>
      </c>
      <c r="H117">
        <v>1390</v>
      </c>
      <c r="I117">
        <v>2</v>
      </c>
      <c r="J117">
        <v>490</v>
      </c>
      <c r="K117">
        <v>1682.24</v>
      </c>
      <c r="L117">
        <v>7.0000000000000007E-2</v>
      </c>
      <c r="M117">
        <f t="shared" si="1"/>
        <v>1800</v>
      </c>
      <c r="O117">
        <v>263</v>
      </c>
      <c r="P117">
        <v>263</v>
      </c>
      <c r="Q117">
        <v>4020</v>
      </c>
      <c r="R117">
        <v>4020</v>
      </c>
    </row>
    <row r="118" spans="1:18" x14ac:dyDescent="0.25">
      <c r="A118" t="s">
        <v>293</v>
      </c>
      <c r="B118" t="s">
        <v>290</v>
      </c>
      <c r="C118" s="1">
        <v>41967</v>
      </c>
      <c r="D118" t="s">
        <v>58</v>
      </c>
      <c r="E118" t="s">
        <v>53</v>
      </c>
      <c r="F118" t="s">
        <v>291</v>
      </c>
      <c r="G118" t="s">
        <v>125</v>
      </c>
      <c r="H118">
        <v>1390</v>
      </c>
      <c r="I118">
        <v>1</v>
      </c>
      <c r="J118">
        <v>490</v>
      </c>
      <c r="K118">
        <v>841.12</v>
      </c>
      <c r="L118">
        <v>7.0000000000000007E-2</v>
      </c>
      <c r="M118">
        <f t="shared" si="1"/>
        <v>900</v>
      </c>
      <c r="O118">
        <v>263</v>
      </c>
      <c r="P118">
        <v>263</v>
      </c>
      <c r="Q118">
        <v>4020</v>
      </c>
      <c r="R118">
        <v>4020</v>
      </c>
    </row>
    <row r="119" spans="1:18" x14ac:dyDescent="0.25">
      <c r="A119" t="s">
        <v>294</v>
      </c>
      <c r="B119" t="s">
        <v>295</v>
      </c>
      <c r="C119" s="1">
        <v>41967</v>
      </c>
      <c r="D119" t="s">
        <v>19</v>
      </c>
      <c r="E119" t="s">
        <v>53</v>
      </c>
      <c r="F119" t="s">
        <v>291</v>
      </c>
      <c r="G119" t="s">
        <v>273</v>
      </c>
      <c r="H119">
        <v>47.99</v>
      </c>
      <c r="I119">
        <v>24</v>
      </c>
      <c r="K119">
        <v>1076.4100000000001</v>
      </c>
      <c r="L119">
        <v>7.0000000000000007E-2</v>
      </c>
      <c r="M119">
        <f t="shared" si="1"/>
        <v>1151.8</v>
      </c>
      <c r="O119">
        <v>160.22999999999999</v>
      </c>
      <c r="P119">
        <v>160.22999999999999</v>
      </c>
      <c r="Q119">
        <v>2449.1999999999998</v>
      </c>
      <c r="R119">
        <v>2449.1999999999998</v>
      </c>
    </row>
    <row r="120" spans="1:18" x14ac:dyDescent="0.25">
      <c r="A120" t="s">
        <v>296</v>
      </c>
      <c r="B120" t="s">
        <v>295</v>
      </c>
      <c r="C120" s="1">
        <v>41967</v>
      </c>
      <c r="D120" t="s">
        <v>19</v>
      </c>
      <c r="E120" t="s">
        <v>53</v>
      </c>
      <c r="F120" t="s">
        <v>291</v>
      </c>
      <c r="G120" t="s">
        <v>297</v>
      </c>
      <c r="H120">
        <v>54.06</v>
      </c>
      <c r="I120">
        <v>24</v>
      </c>
      <c r="K120">
        <v>1212.56</v>
      </c>
      <c r="L120">
        <v>7.0000000000000007E-2</v>
      </c>
      <c r="M120">
        <f t="shared" si="1"/>
        <v>1297.4000000000001</v>
      </c>
      <c r="O120">
        <v>160.22999999999999</v>
      </c>
      <c r="P120">
        <v>160.22999999999999</v>
      </c>
      <c r="Q120">
        <v>2449.1999999999998</v>
      </c>
      <c r="R120">
        <v>2449.1999999999998</v>
      </c>
    </row>
    <row r="121" spans="1:18" x14ac:dyDescent="0.25">
      <c r="A121" t="s">
        <v>298</v>
      </c>
      <c r="B121" t="s">
        <v>299</v>
      </c>
      <c r="C121" s="1">
        <v>41967</v>
      </c>
      <c r="D121" t="s">
        <v>93</v>
      </c>
      <c r="E121" t="s">
        <v>53</v>
      </c>
      <c r="F121" t="s">
        <v>291</v>
      </c>
      <c r="G121" t="s">
        <v>300</v>
      </c>
      <c r="H121">
        <v>70</v>
      </c>
      <c r="I121">
        <v>1</v>
      </c>
      <c r="J121">
        <v>8</v>
      </c>
      <c r="K121">
        <v>57.94</v>
      </c>
      <c r="L121">
        <v>7.0000000000000007E-2</v>
      </c>
      <c r="M121">
        <f t="shared" si="1"/>
        <v>62</v>
      </c>
      <c r="N121" t="b">
        <v>1</v>
      </c>
      <c r="O121">
        <v>4.0599999999999996</v>
      </c>
      <c r="P121">
        <v>4.0599999999999996</v>
      </c>
      <c r="Q121">
        <v>62</v>
      </c>
      <c r="R121">
        <v>62</v>
      </c>
    </row>
    <row r="122" spans="1:18" x14ac:dyDescent="0.25">
      <c r="A122" t="s">
        <v>301</v>
      </c>
      <c r="B122" t="s">
        <v>302</v>
      </c>
      <c r="C122" s="1">
        <v>41967</v>
      </c>
      <c r="D122" t="s">
        <v>93</v>
      </c>
      <c r="E122" t="s">
        <v>34</v>
      </c>
      <c r="F122" t="s">
        <v>45</v>
      </c>
      <c r="G122" t="s">
        <v>115</v>
      </c>
      <c r="H122">
        <v>550</v>
      </c>
      <c r="I122">
        <v>2</v>
      </c>
      <c r="J122">
        <v>50</v>
      </c>
      <c r="K122">
        <v>934.58</v>
      </c>
      <c r="L122">
        <v>7.0000000000000007E-2</v>
      </c>
      <c r="M122">
        <f t="shared" si="1"/>
        <v>1000</v>
      </c>
      <c r="N122" t="b">
        <v>1</v>
      </c>
      <c r="O122">
        <v>98.13</v>
      </c>
      <c r="P122">
        <v>98.13</v>
      </c>
      <c r="Q122">
        <v>1500</v>
      </c>
      <c r="R122">
        <v>1500</v>
      </c>
    </row>
    <row r="123" spans="1:18" x14ac:dyDescent="0.25">
      <c r="A123" t="s">
        <v>303</v>
      </c>
      <c r="B123" t="s">
        <v>302</v>
      </c>
      <c r="C123" s="1">
        <v>41967</v>
      </c>
      <c r="D123" t="s">
        <v>93</v>
      </c>
      <c r="E123" t="s">
        <v>34</v>
      </c>
      <c r="F123" t="s">
        <v>45</v>
      </c>
      <c r="G123" t="s">
        <v>50</v>
      </c>
      <c r="H123">
        <v>550</v>
      </c>
      <c r="I123">
        <v>1</v>
      </c>
      <c r="J123">
        <v>50</v>
      </c>
      <c r="K123">
        <v>467.29</v>
      </c>
      <c r="L123">
        <v>7.0000000000000007E-2</v>
      </c>
      <c r="M123">
        <f t="shared" si="1"/>
        <v>500</v>
      </c>
      <c r="N123" t="b">
        <v>1</v>
      </c>
      <c r="O123">
        <v>98.13</v>
      </c>
      <c r="P123">
        <v>98.13</v>
      </c>
      <c r="Q123">
        <v>1500</v>
      </c>
      <c r="R123">
        <v>1500</v>
      </c>
    </row>
    <row r="124" spans="1:18" x14ac:dyDescent="0.25">
      <c r="A124" t="s">
        <v>304</v>
      </c>
      <c r="B124" t="s">
        <v>305</v>
      </c>
      <c r="C124" s="1">
        <v>41967</v>
      </c>
      <c r="D124" t="s">
        <v>93</v>
      </c>
      <c r="E124" t="s">
        <v>53</v>
      </c>
      <c r="F124" t="s">
        <v>306</v>
      </c>
      <c r="G124" t="s">
        <v>307</v>
      </c>
      <c r="H124">
        <v>70</v>
      </c>
      <c r="I124">
        <v>1</v>
      </c>
      <c r="J124">
        <v>70</v>
      </c>
      <c r="L124">
        <v>7.0000000000000007E-2</v>
      </c>
      <c r="M124">
        <f t="shared" si="1"/>
        <v>0</v>
      </c>
      <c r="N124" t="b">
        <v>1</v>
      </c>
    </row>
    <row r="125" spans="1:18" x14ac:dyDescent="0.25">
      <c r="A125" t="s">
        <v>308</v>
      </c>
      <c r="B125" t="s">
        <v>309</v>
      </c>
      <c r="C125" s="1">
        <v>41964</v>
      </c>
      <c r="D125" t="s">
        <v>19</v>
      </c>
      <c r="E125" t="s">
        <v>118</v>
      </c>
      <c r="F125" t="s">
        <v>164</v>
      </c>
      <c r="G125" t="s">
        <v>310</v>
      </c>
      <c r="H125">
        <v>1671.02</v>
      </c>
      <c r="I125">
        <v>1</v>
      </c>
      <c r="K125">
        <v>1561.7</v>
      </c>
      <c r="L125">
        <v>7.0000000000000007E-2</v>
      </c>
      <c r="M125">
        <f t="shared" si="1"/>
        <v>1671</v>
      </c>
      <c r="O125">
        <v>151.44999999999999</v>
      </c>
      <c r="P125">
        <v>151.44999999999999</v>
      </c>
      <c r="Q125">
        <v>2314.94</v>
      </c>
      <c r="R125">
        <v>2314.94</v>
      </c>
    </row>
    <row r="126" spans="1:18" x14ac:dyDescent="0.25">
      <c r="A126" t="s">
        <v>311</v>
      </c>
      <c r="B126" t="s">
        <v>309</v>
      </c>
      <c r="C126" s="1">
        <v>41964</v>
      </c>
      <c r="D126" t="s">
        <v>19</v>
      </c>
      <c r="E126" t="s">
        <v>118</v>
      </c>
      <c r="F126" t="s">
        <v>164</v>
      </c>
      <c r="G126" t="s">
        <v>179</v>
      </c>
      <c r="H126">
        <v>643.91999999999996</v>
      </c>
      <c r="I126">
        <v>1</v>
      </c>
      <c r="K126">
        <v>601.79</v>
      </c>
      <c r="L126">
        <v>7.0000000000000007E-2</v>
      </c>
      <c r="M126">
        <f t="shared" si="1"/>
        <v>643.9</v>
      </c>
      <c r="O126">
        <v>151.44999999999999</v>
      </c>
      <c r="P126">
        <v>151.44999999999999</v>
      </c>
      <c r="Q126">
        <v>2314.94</v>
      </c>
      <c r="R126">
        <v>2314.94</v>
      </c>
    </row>
    <row r="127" spans="1:18" x14ac:dyDescent="0.25">
      <c r="A127" t="s">
        <v>312</v>
      </c>
      <c r="B127" t="s">
        <v>313</v>
      </c>
      <c r="C127" s="1">
        <v>41964</v>
      </c>
      <c r="D127" t="s">
        <v>93</v>
      </c>
      <c r="E127" t="s">
        <v>20</v>
      </c>
      <c r="F127" t="s">
        <v>314</v>
      </c>
      <c r="G127" t="s">
        <v>273</v>
      </c>
      <c r="H127">
        <v>51.74</v>
      </c>
      <c r="I127">
        <v>24</v>
      </c>
      <c r="K127">
        <v>1160.52</v>
      </c>
      <c r="L127">
        <v>7.0000000000000007E-2</v>
      </c>
      <c r="M127">
        <f t="shared" si="1"/>
        <v>1241.8</v>
      </c>
      <c r="N127" t="b">
        <v>1</v>
      </c>
      <c r="O127">
        <v>81.239999999999995</v>
      </c>
      <c r="P127">
        <v>81.239999999999995</v>
      </c>
      <c r="Q127">
        <v>1241.76</v>
      </c>
      <c r="R127">
        <v>1241.76</v>
      </c>
    </row>
    <row r="128" spans="1:18" x14ac:dyDescent="0.25">
      <c r="A128" t="s">
        <v>315</v>
      </c>
      <c r="B128" t="s">
        <v>316</v>
      </c>
      <c r="C128" s="1">
        <v>41964</v>
      </c>
      <c r="D128" t="s">
        <v>93</v>
      </c>
      <c r="E128" t="s">
        <v>20</v>
      </c>
      <c r="F128" t="s">
        <v>317</v>
      </c>
      <c r="G128" t="s">
        <v>318</v>
      </c>
      <c r="H128">
        <v>1950</v>
      </c>
      <c r="I128">
        <v>1</v>
      </c>
      <c r="J128">
        <v>1950</v>
      </c>
      <c r="L128">
        <v>7.0000000000000007E-2</v>
      </c>
      <c r="M128">
        <f t="shared" si="1"/>
        <v>0</v>
      </c>
      <c r="N128" t="b">
        <v>1</v>
      </c>
    </row>
    <row r="129" spans="1:18" x14ac:dyDescent="0.25">
      <c r="A129" t="s">
        <v>319</v>
      </c>
      <c r="B129" t="s">
        <v>320</v>
      </c>
      <c r="C129" s="1">
        <v>41964</v>
      </c>
      <c r="D129" t="s">
        <v>19</v>
      </c>
      <c r="E129" t="s">
        <v>20</v>
      </c>
      <c r="F129" t="s">
        <v>321</v>
      </c>
      <c r="G129" t="s">
        <v>322</v>
      </c>
      <c r="H129">
        <v>667.29</v>
      </c>
      <c r="I129">
        <v>15</v>
      </c>
      <c r="K129">
        <v>9354.5300000000007</v>
      </c>
      <c r="L129">
        <v>7.0000000000000007E-2</v>
      </c>
      <c r="M129">
        <f t="shared" si="1"/>
        <v>10009.299999999999</v>
      </c>
      <c r="O129">
        <v>1309.6400000000001</v>
      </c>
      <c r="P129">
        <v>1309.6400000000001</v>
      </c>
      <c r="Q129">
        <v>20018.7</v>
      </c>
      <c r="R129">
        <v>20018.7</v>
      </c>
    </row>
    <row r="130" spans="1:18" x14ac:dyDescent="0.25">
      <c r="A130" t="s">
        <v>323</v>
      </c>
      <c r="B130" t="s">
        <v>320</v>
      </c>
      <c r="C130" s="1">
        <v>41964</v>
      </c>
      <c r="D130" t="s">
        <v>19</v>
      </c>
      <c r="E130" t="s">
        <v>20</v>
      </c>
      <c r="F130" t="s">
        <v>321</v>
      </c>
      <c r="G130" t="s">
        <v>324</v>
      </c>
      <c r="H130">
        <v>667.29</v>
      </c>
      <c r="I130">
        <v>15</v>
      </c>
      <c r="K130">
        <v>9354.5300000000007</v>
      </c>
      <c r="L130">
        <v>7.0000000000000007E-2</v>
      </c>
      <c r="M130">
        <f t="shared" si="1"/>
        <v>10009.299999999999</v>
      </c>
      <c r="O130">
        <v>1309.6400000000001</v>
      </c>
      <c r="P130">
        <v>1309.6400000000001</v>
      </c>
      <c r="Q130">
        <v>20018.7</v>
      </c>
      <c r="R130">
        <v>20018.7</v>
      </c>
    </row>
    <row r="131" spans="1:18" x14ac:dyDescent="0.25">
      <c r="A131" t="s">
        <v>325</v>
      </c>
      <c r="B131" t="s">
        <v>326</v>
      </c>
      <c r="C131" s="1">
        <v>41964</v>
      </c>
      <c r="D131" t="s">
        <v>19</v>
      </c>
      <c r="E131" t="s">
        <v>20</v>
      </c>
      <c r="F131" t="s">
        <v>327</v>
      </c>
      <c r="G131" t="s">
        <v>328</v>
      </c>
      <c r="H131">
        <v>51.68</v>
      </c>
      <c r="I131">
        <v>7</v>
      </c>
      <c r="K131">
        <v>338.09</v>
      </c>
      <c r="L131">
        <v>7.0000000000000007E-2</v>
      </c>
      <c r="M131">
        <f t="shared" si="1"/>
        <v>361.8</v>
      </c>
      <c r="O131">
        <v>35.57</v>
      </c>
      <c r="P131">
        <v>35.57</v>
      </c>
      <c r="Q131">
        <v>543.62</v>
      </c>
      <c r="R131">
        <v>543.62</v>
      </c>
    </row>
    <row r="132" spans="1:18" x14ac:dyDescent="0.25">
      <c r="A132" t="s">
        <v>329</v>
      </c>
      <c r="B132" t="s">
        <v>326</v>
      </c>
      <c r="C132" s="1">
        <v>41964</v>
      </c>
      <c r="D132" t="s">
        <v>19</v>
      </c>
      <c r="E132" t="s">
        <v>20</v>
      </c>
      <c r="F132" t="s">
        <v>327</v>
      </c>
      <c r="G132" t="s">
        <v>330</v>
      </c>
      <c r="H132">
        <v>90.93</v>
      </c>
      <c r="I132">
        <v>2</v>
      </c>
      <c r="K132">
        <v>169.96</v>
      </c>
      <c r="L132">
        <v>7.0000000000000007E-2</v>
      </c>
      <c r="M132">
        <f t="shared" ref="M132:M195" si="2">ROUND(K132*(1+L132),1)</f>
        <v>181.9</v>
      </c>
      <c r="O132">
        <v>35.57</v>
      </c>
      <c r="P132">
        <v>35.57</v>
      </c>
      <c r="Q132">
        <v>543.62</v>
      </c>
      <c r="R132">
        <v>543.62</v>
      </c>
    </row>
    <row r="133" spans="1:18" x14ac:dyDescent="0.25">
      <c r="A133" t="s">
        <v>331</v>
      </c>
      <c r="B133" t="s">
        <v>332</v>
      </c>
      <c r="C133" s="1">
        <v>41964</v>
      </c>
      <c r="D133" t="s">
        <v>19</v>
      </c>
      <c r="E133" t="s">
        <v>20</v>
      </c>
      <c r="F133" t="s">
        <v>327</v>
      </c>
      <c r="G133" t="s">
        <v>333</v>
      </c>
      <c r="H133">
        <v>700.94</v>
      </c>
      <c r="I133">
        <v>25</v>
      </c>
      <c r="K133">
        <v>16377.1</v>
      </c>
      <c r="L133">
        <v>7.0000000000000007E-2</v>
      </c>
      <c r="M133">
        <f t="shared" si="2"/>
        <v>17523.5</v>
      </c>
      <c r="O133">
        <v>4585.59</v>
      </c>
      <c r="P133">
        <v>4585.59</v>
      </c>
      <c r="Q133">
        <v>70094</v>
      </c>
      <c r="R133">
        <v>70094</v>
      </c>
    </row>
    <row r="134" spans="1:18" x14ac:dyDescent="0.25">
      <c r="A134" t="s">
        <v>334</v>
      </c>
      <c r="B134" t="s">
        <v>332</v>
      </c>
      <c r="C134" s="1">
        <v>41964</v>
      </c>
      <c r="D134" t="s">
        <v>19</v>
      </c>
      <c r="E134" t="s">
        <v>20</v>
      </c>
      <c r="F134" t="s">
        <v>327</v>
      </c>
      <c r="G134" t="s">
        <v>322</v>
      </c>
      <c r="H134">
        <v>700.94</v>
      </c>
      <c r="I134">
        <v>25</v>
      </c>
      <c r="K134">
        <v>16377.1</v>
      </c>
      <c r="L134">
        <v>7.0000000000000007E-2</v>
      </c>
      <c r="M134">
        <f t="shared" si="2"/>
        <v>17523.5</v>
      </c>
      <c r="O134">
        <v>4585.59</v>
      </c>
      <c r="P134">
        <v>4585.59</v>
      </c>
      <c r="Q134">
        <v>70094</v>
      </c>
      <c r="R134">
        <v>70094</v>
      </c>
    </row>
    <row r="135" spans="1:18" x14ac:dyDescent="0.25">
      <c r="A135" t="s">
        <v>335</v>
      </c>
      <c r="B135" t="s">
        <v>332</v>
      </c>
      <c r="C135" s="1">
        <v>41964</v>
      </c>
      <c r="D135" t="s">
        <v>19</v>
      </c>
      <c r="E135" t="s">
        <v>20</v>
      </c>
      <c r="F135" t="s">
        <v>327</v>
      </c>
      <c r="G135" t="s">
        <v>324</v>
      </c>
      <c r="H135">
        <v>700.94</v>
      </c>
      <c r="I135">
        <v>50</v>
      </c>
      <c r="K135">
        <v>32754.21</v>
      </c>
      <c r="L135">
        <v>7.0000000000000007E-2</v>
      </c>
      <c r="M135">
        <f t="shared" si="2"/>
        <v>35047</v>
      </c>
      <c r="O135">
        <v>4585.59</v>
      </c>
      <c r="P135">
        <v>4585.59</v>
      </c>
      <c r="Q135">
        <v>70094</v>
      </c>
      <c r="R135">
        <v>70094</v>
      </c>
    </row>
    <row r="136" spans="1:18" x14ac:dyDescent="0.25">
      <c r="A136" t="s">
        <v>336</v>
      </c>
      <c r="B136" t="s">
        <v>337</v>
      </c>
      <c r="C136" s="1">
        <v>41964</v>
      </c>
      <c r="D136" t="s">
        <v>93</v>
      </c>
      <c r="E136" t="s">
        <v>20</v>
      </c>
      <c r="F136" t="s">
        <v>206</v>
      </c>
      <c r="G136" t="s">
        <v>338</v>
      </c>
      <c r="H136">
        <v>550</v>
      </c>
      <c r="I136">
        <v>5</v>
      </c>
      <c r="K136">
        <v>2570.09</v>
      </c>
      <c r="L136">
        <v>7.0000000000000007E-2</v>
      </c>
      <c r="M136">
        <f t="shared" si="2"/>
        <v>2750</v>
      </c>
      <c r="N136" t="b">
        <v>1</v>
      </c>
      <c r="O136">
        <v>627.25</v>
      </c>
      <c r="P136">
        <v>627.25</v>
      </c>
      <c r="Q136">
        <v>9588.2000000000007</v>
      </c>
      <c r="R136">
        <v>9588.2000000000007</v>
      </c>
    </row>
    <row r="137" spans="1:18" x14ac:dyDescent="0.25">
      <c r="A137" t="s">
        <v>339</v>
      </c>
      <c r="B137" t="s">
        <v>337</v>
      </c>
      <c r="C137" s="1">
        <v>41964</v>
      </c>
      <c r="D137" t="s">
        <v>93</v>
      </c>
      <c r="E137" t="s">
        <v>20</v>
      </c>
      <c r="F137" t="s">
        <v>206</v>
      </c>
      <c r="G137" t="s">
        <v>340</v>
      </c>
      <c r="H137">
        <v>620.37</v>
      </c>
      <c r="I137">
        <v>3</v>
      </c>
      <c r="K137">
        <v>1739.36</v>
      </c>
      <c r="L137">
        <v>7.0000000000000007E-2</v>
      </c>
      <c r="M137">
        <f t="shared" si="2"/>
        <v>1861.1</v>
      </c>
      <c r="N137" t="b">
        <v>1</v>
      </c>
      <c r="O137">
        <v>627.25</v>
      </c>
      <c r="P137">
        <v>627.25</v>
      </c>
      <c r="Q137">
        <v>9588.2000000000007</v>
      </c>
      <c r="R137">
        <v>9588.2000000000007</v>
      </c>
    </row>
    <row r="138" spans="1:18" x14ac:dyDescent="0.25">
      <c r="A138" t="s">
        <v>341</v>
      </c>
      <c r="B138" t="s">
        <v>337</v>
      </c>
      <c r="C138" s="1">
        <v>41964</v>
      </c>
      <c r="D138" t="s">
        <v>93</v>
      </c>
      <c r="E138" t="s">
        <v>20</v>
      </c>
      <c r="F138" t="s">
        <v>206</v>
      </c>
      <c r="G138" t="s">
        <v>342</v>
      </c>
      <c r="H138">
        <v>620.37</v>
      </c>
      <c r="I138">
        <v>3</v>
      </c>
      <c r="K138">
        <v>1739.36</v>
      </c>
      <c r="L138">
        <v>7.0000000000000007E-2</v>
      </c>
      <c r="M138">
        <f t="shared" si="2"/>
        <v>1861.1</v>
      </c>
      <c r="N138" t="b">
        <v>1</v>
      </c>
      <c r="O138">
        <v>627.25</v>
      </c>
      <c r="P138">
        <v>627.25</v>
      </c>
      <c r="Q138">
        <v>9588.2000000000007</v>
      </c>
      <c r="R138">
        <v>9588.2000000000007</v>
      </c>
    </row>
    <row r="139" spans="1:18" x14ac:dyDescent="0.25">
      <c r="A139" t="s">
        <v>343</v>
      </c>
      <c r="B139" t="s">
        <v>337</v>
      </c>
      <c r="C139" s="1">
        <v>41964</v>
      </c>
      <c r="D139" t="s">
        <v>93</v>
      </c>
      <c r="E139" t="s">
        <v>20</v>
      </c>
      <c r="F139" t="s">
        <v>206</v>
      </c>
      <c r="G139" t="s">
        <v>344</v>
      </c>
      <c r="H139">
        <v>519.33000000000004</v>
      </c>
      <c r="I139">
        <v>3</v>
      </c>
      <c r="K139">
        <v>1456.07</v>
      </c>
      <c r="L139">
        <v>7.0000000000000007E-2</v>
      </c>
      <c r="M139">
        <f t="shared" si="2"/>
        <v>1558</v>
      </c>
      <c r="N139" t="b">
        <v>1</v>
      </c>
      <c r="O139">
        <v>627.25</v>
      </c>
      <c r="P139">
        <v>627.25</v>
      </c>
      <c r="Q139">
        <v>9588.2000000000007</v>
      </c>
      <c r="R139">
        <v>9588.2000000000007</v>
      </c>
    </row>
    <row r="140" spans="1:18" x14ac:dyDescent="0.25">
      <c r="A140" t="s">
        <v>345</v>
      </c>
      <c r="B140" t="s">
        <v>337</v>
      </c>
      <c r="C140" s="1">
        <v>41964</v>
      </c>
      <c r="D140" t="s">
        <v>93</v>
      </c>
      <c r="E140" t="s">
        <v>20</v>
      </c>
      <c r="F140" t="s">
        <v>206</v>
      </c>
      <c r="G140" t="s">
        <v>346</v>
      </c>
      <c r="H140">
        <v>519.33000000000004</v>
      </c>
      <c r="I140">
        <v>3</v>
      </c>
      <c r="K140">
        <v>1456.07</v>
      </c>
      <c r="L140">
        <v>7.0000000000000007E-2</v>
      </c>
      <c r="M140">
        <f t="shared" si="2"/>
        <v>1558</v>
      </c>
      <c r="N140" t="b">
        <v>1</v>
      </c>
      <c r="O140">
        <v>627.25</v>
      </c>
      <c r="P140">
        <v>627.25</v>
      </c>
      <c r="Q140">
        <v>9588.2000000000007</v>
      </c>
      <c r="R140">
        <v>9588.2000000000007</v>
      </c>
    </row>
    <row r="141" spans="1:18" x14ac:dyDescent="0.25">
      <c r="A141" t="s">
        <v>347</v>
      </c>
      <c r="B141" t="s">
        <v>348</v>
      </c>
      <c r="C141" s="1">
        <v>41964</v>
      </c>
      <c r="D141" t="s">
        <v>93</v>
      </c>
      <c r="E141" t="s">
        <v>20</v>
      </c>
      <c r="F141" t="s">
        <v>349</v>
      </c>
      <c r="G141" t="s">
        <v>350</v>
      </c>
      <c r="H141">
        <v>390</v>
      </c>
      <c r="I141">
        <v>6</v>
      </c>
      <c r="J141">
        <v>170</v>
      </c>
      <c r="K141">
        <v>1233.6400000000001</v>
      </c>
      <c r="L141">
        <v>7.0000000000000007E-2</v>
      </c>
      <c r="M141">
        <f t="shared" si="2"/>
        <v>1320</v>
      </c>
      <c r="N141" t="b">
        <v>1</v>
      </c>
      <c r="O141">
        <v>546.92999999999995</v>
      </c>
      <c r="P141">
        <v>546.92999999999995</v>
      </c>
      <c r="Q141">
        <v>8360</v>
      </c>
      <c r="R141">
        <v>8360</v>
      </c>
    </row>
    <row r="142" spans="1:18" x14ac:dyDescent="0.25">
      <c r="A142" t="s">
        <v>351</v>
      </c>
      <c r="B142" t="s">
        <v>348</v>
      </c>
      <c r="C142" s="1">
        <v>41964</v>
      </c>
      <c r="D142" t="s">
        <v>93</v>
      </c>
      <c r="E142" t="s">
        <v>20</v>
      </c>
      <c r="F142" t="s">
        <v>349</v>
      </c>
      <c r="G142" t="s">
        <v>352</v>
      </c>
      <c r="H142">
        <v>1390</v>
      </c>
      <c r="I142">
        <v>3</v>
      </c>
      <c r="J142">
        <v>490</v>
      </c>
      <c r="K142">
        <v>2523.36</v>
      </c>
      <c r="L142">
        <v>7.0000000000000007E-2</v>
      </c>
      <c r="M142">
        <f t="shared" si="2"/>
        <v>2700</v>
      </c>
      <c r="N142" t="b">
        <v>1</v>
      </c>
      <c r="O142">
        <v>546.92999999999995</v>
      </c>
      <c r="P142">
        <v>546.92999999999995</v>
      </c>
      <c r="Q142">
        <v>8360</v>
      </c>
      <c r="R142">
        <v>8360</v>
      </c>
    </row>
    <row r="143" spans="1:18" x14ac:dyDescent="0.25">
      <c r="A143" t="s">
        <v>353</v>
      </c>
      <c r="B143" t="s">
        <v>348</v>
      </c>
      <c r="C143" s="1">
        <v>41964</v>
      </c>
      <c r="D143" t="s">
        <v>93</v>
      </c>
      <c r="E143" t="s">
        <v>20</v>
      </c>
      <c r="F143" t="s">
        <v>349</v>
      </c>
      <c r="G143" t="s">
        <v>354</v>
      </c>
      <c r="H143">
        <v>220</v>
      </c>
      <c r="I143">
        <v>4</v>
      </c>
      <c r="J143">
        <v>60</v>
      </c>
      <c r="K143">
        <v>598.13</v>
      </c>
      <c r="L143">
        <v>7.0000000000000007E-2</v>
      </c>
      <c r="M143">
        <f t="shared" si="2"/>
        <v>640</v>
      </c>
      <c r="N143" t="b">
        <v>1</v>
      </c>
      <c r="O143">
        <v>546.92999999999995</v>
      </c>
      <c r="P143">
        <v>546.92999999999995</v>
      </c>
      <c r="Q143">
        <v>8360</v>
      </c>
      <c r="R143">
        <v>8360</v>
      </c>
    </row>
    <row r="144" spans="1:18" x14ac:dyDescent="0.25">
      <c r="A144" t="s">
        <v>355</v>
      </c>
      <c r="B144" t="s">
        <v>348</v>
      </c>
      <c r="C144" s="1">
        <v>41964</v>
      </c>
      <c r="D144" t="s">
        <v>93</v>
      </c>
      <c r="E144" t="s">
        <v>20</v>
      </c>
      <c r="F144" t="s">
        <v>349</v>
      </c>
      <c r="G144" t="s">
        <v>356</v>
      </c>
      <c r="H144">
        <v>480</v>
      </c>
      <c r="I144">
        <v>2</v>
      </c>
      <c r="J144">
        <v>130</v>
      </c>
      <c r="K144">
        <v>654.21</v>
      </c>
      <c r="L144">
        <v>7.0000000000000007E-2</v>
      </c>
      <c r="M144">
        <f t="shared" si="2"/>
        <v>700</v>
      </c>
      <c r="N144" t="b">
        <v>1</v>
      </c>
      <c r="O144">
        <v>546.92999999999995</v>
      </c>
      <c r="P144">
        <v>546.92999999999995</v>
      </c>
      <c r="Q144">
        <v>8360</v>
      </c>
      <c r="R144">
        <v>8360</v>
      </c>
    </row>
    <row r="145" spans="1:18" x14ac:dyDescent="0.25">
      <c r="A145" t="s">
        <v>357</v>
      </c>
      <c r="B145" t="s">
        <v>348</v>
      </c>
      <c r="C145" s="1">
        <v>41964</v>
      </c>
      <c r="D145" t="s">
        <v>93</v>
      </c>
      <c r="E145" t="s">
        <v>20</v>
      </c>
      <c r="F145" t="s">
        <v>349</v>
      </c>
      <c r="G145" t="s">
        <v>358</v>
      </c>
      <c r="H145">
        <v>1390</v>
      </c>
      <c r="I145">
        <v>1</v>
      </c>
      <c r="J145">
        <v>590</v>
      </c>
      <c r="K145">
        <v>747.66</v>
      </c>
      <c r="L145">
        <v>7.0000000000000007E-2</v>
      </c>
      <c r="M145">
        <f t="shared" si="2"/>
        <v>800</v>
      </c>
      <c r="N145" t="b">
        <v>1</v>
      </c>
      <c r="O145">
        <v>546.92999999999995</v>
      </c>
      <c r="P145">
        <v>546.92999999999995</v>
      </c>
      <c r="Q145">
        <v>8360</v>
      </c>
      <c r="R145">
        <v>8360</v>
      </c>
    </row>
    <row r="146" spans="1:18" x14ac:dyDescent="0.25">
      <c r="A146" t="s">
        <v>359</v>
      </c>
      <c r="B146" t="s">
        <v>348</v>
      </c>
      <c r="C146" s="1">
        <v>41964</v>
      </c>
      <c r="D146" t="s">
        <v>93</v>
      </c>
      <c r="E146" t="s">
        <v>20</v>
      </c>
      <c r="F146" t="s">
        <v>349</v>
      </c>
      <c r="G146" t="s">
        <v>360</v>
      </c>
      <c r="H146">
        <v>1390</v>
      </c>
      <c r="I146">
        <v>1</v>
      </c>
      <c r="J146">
        <v>590</v>
      </c>
      <c r="K146">
        <v>747.66</v>
      </c>
      <c r="L146">
        <v>7.0000000000000007E-2</v>
      </c>
      <c r="M146">
        <f t="shared" si="2"/>
        <v>800</v>
      </c>
      <c r="N146" t="b">
        <v>1</v>
      </c>
      <c r="O146">
        <v>546.92999999999995</v>
      </c>
      <c r="P146">
        <v>546.92999999999995</v>
      </c>
      <c r="Q146">
        <v>8360</v>
      </c>
      <c r="R146">
        <v>8360</v>
      </c>
    </row>
    <row r="147" spans="1:18" x14ac:dyDescent="0.25">
      <c r="A147" t="s">
        <v>361</v>
      </c>
      <c r="B147" t="s">
        <v>348</v>
      </c>
      <c r="C147" s="1">
        <v>41964</v>
      </c>
      <c r="D147" t="s">
        <v>93</v>
      </c>
      <c r="E147" t="s">
        <v>20</v>
      </c>
      <c r="F147" t="s">
        <v>349</v>
      </c>
      <c r="G147" t="s">
        <v>362</v>
      </c>
      <c r="H147">
        <v>1600</v>
      </c>
      <c r="I147">
        <v>1</v>
      </c>
      <c r="J147">
        <v>200</v>
      </c>
      <c r="K147">
        <v>1308.4100000000001</v>
      </c>
      <c r="L147">
        <v>7.0000000000000007E-2</v>
      </c>
      <c r="M147">
        <f t="shared" si="2"/>
        <v>1400</v>
      </c>
      <c r="N147" t="b">
        <v>1</v>
      </c>
      <c r="O147">
        <v>546.92999999999995</v>
      </c>
      <c r="P147">
        <v>546.92999999999995</v>
      </c>
      <c r="Q147">
        <v>8360</v>
      </c>
      <c r="R147">
        <v>8360</v>
      </c>
    </row>
    <row r="148" spans="1:18" x14ac:dyDescent="0.25">
      <c r="A148" t="s">
        <v>363</v>
      </c>
      <c r="B148" t="s">
        <v>364</v>
      </c>
      <c r="C148" s="1">
        <v>41963</v>
      </c>
      <c r="D148" t="s">
        <v>93</v>
      </c>
      <c r="E148" t="s">
        <v>20</v>
      </c>
      <c r="F148" t="s">
        <v>365</v>
      </c>
      <c r="G148" t="s">
        <v>366</v>
      </c>
      <c r="H148">
        <v>970</v>
      </c>
      <c r="I148">
        <v>2</v>
      </c>
      <c r="J148">
        <v>170</v>
      </c>
      <c r="K148">
        <v>1495.33</v>
      </c>
      <c r="L148">
        <v>7.0000000000000007E-2</v>
      </c>
      <c r="M148">
        <f t="shared" si="2"/>
        <v>1600</v>
      </c>
      <c r="N148" t="b">
        <v>1</v>
      </c>
      <c r="O148">
        <v>104.67</v>
      </c>
      <c r="P148">
        <v>104.67</v>
      </c>
      <c r="Q148">
        <v>1600</v>
      </c>
      <c r="R148">
        <v>1600</v>
      </c>
    </row>
    <row r="149" spans="1:18" x14ac:dyDescent="0.25">
      <c r="A149" t="s">
        <v>367</v>
      </c>
      <c r="B149" t="s">
        <v>368</v>
      </c>
      <c r="C149" s="1">
        <v>41963</v>
      </c>
      <c r="D149" t="s">
        <v>93</v>
      </c>
      <c r="E149" t="s">
        <v>369</v>
      </c>
      <c r="F149" t="s">
        <v>370</v>
      </c>
      <c r="G149" t="s">
        <v>358</v>
      </c>
      <c r="H149">
        <v>1390</v>
      </c>
      <c r="I149">
        <v>2</v>
      </c>
      <c r="J149">
        <v>200</v>
      </c>
      <c r="K149">
        <v>2224.3000000000002</v>
      </c>
      <c r="L149">
        <v>7.0000000000000007E-2</v>
      </c>
      <c r="M149">
        <f t="shared" si="2"/>
        <v>2380</v>
      </c>
      <c r="N149" t="b">
        <v>1</v>
      </c>
      <c r="O149">
        <v>311.39999999999998</v>
      </c>
      <c r="P149">
        <v>311.39999999999998</v>
      </c>
      <c r="Q149">
        <v>4760</v>
      </c>
      <c r="R149">
        <v>4760</v>
      </c>
    </row>
    <row r="150" spans="1:18" x14ac:dyDescent="0.25">
      <c r="A150" t="s">
        <v>371</v>
      </c>
      <c r="B150" t="s">
        <v>368</v>
      </c>
      <c r="C150" s="1">
        <v>41963</v>
      </c>
      <c r="D150" t="s">
        <v>93</v>
      </c>
      <c r="E150" t="s">
        <v>369</v>
      </c>
      <c r="F150" t="s">
        <v>370</v>
      </c>
      <c r="G150" t="s">
        <v>360</v>
      </c>
      <c r="H150">
        <v>1390</v>
      </c>
      <c r="I150">
        <v>2</v>
      </c>
      <c r="J150">
        <v>200</v>
      </c>
      <c r="K150">
        <v>2224.3000000000002</v>
      </c>
      <c r="L150">
        <v>7.0000000000000007E-2</v>
      </c>
      <c r="M150">
        <f t="shared" si="2"/>
        <v>2380</v>
      </c>
      <c r="N150" t="b">
        <v>1</v>
      </c>
      <c r="O150">
        <v>311.39999999999998</v>
      </c>
      <c r="P150">
        <v>311.39999999999998</v>
      </c>
      <c r="Q150">
        <v>4760</v>
      </c>
      <c r="R150">
        <v>4760</v>
      </c>
    </row>
    <row r="151" spans="1:18" x14ac:dyDescent="0.25">
      <c r="A151" t="s">
        <v>372</v>
      </c>
      <c r="B151" t="s">
        <v>373</v>
      </c>
      <c r="C151" s="1">
        <v>41963</v>
      </c>
      <c r="D151" t="s">
        <v>93</v>
      </c>
      <c r="E151" t="s">
        <v>53</v>
      </c>
      <c r="F151" t="s">
        <v>374</v>
      </c>
      <c r="G151" t="s">
        <v>375</v>
      </c>
      <c r="H151">
        <v>1950</v>
      </c>
      <c r="I151">
        <v>2</v>
      </c>
      <c r="J151">
        <v>600</v>
      </c>
      <c r="K151">
        <v>2523.36</v>
      </c>
      <c r="L151">
        <v>7.0000000000000007E-2</v>
      </c>
      <c r="M151">
        <f t="shared" si="2"/>
        <v>2700</v>
      </c>
      <c r="N151" t="b">
        <v>1</v>
      </c>
      <c r="O151">
        <v>176.64</v>
      </c>
      <c r="P151">
        <v>176.64</v>
      </c>
      <c r="Q151">
        <v>2700</v>
      </c>
      <c r="R151">
        <v>2700</v>
      </c>
    </row>
    <row r="152" spans="1:18" x14ac:dyDescent="0.25">
      <c r="A152" t="s">
        <v>376</v>
      </c>
      <c r="B152" t="s">
        <v>377</v>
      </c>
      <c r="C152" s="1">
        <v>41963</v>
      </c>
      <c r="D152" t="s">
        <v>93</v>
      </c>
      <c r="E152" t="s">
        <v>20</v>
      </c>
      <c r="F152" t="s">
        <v>378</v>
      </c>
      <c r="G152" t="s">
        <v>352</v>
      </c>
      <c r="H152">
        <v>1390</v>
      </c>
      <c r="I152">
        <v>3</v>
      </c>
      <c r="J152">
        <v>490</v>
      </c>
      <c r="K152">
        <v>2523.36</v>
      </c>
      <c r="L152">
        <v>7.0000000000000007E-2</v>
      </c>
      <c r="M152">
        <f t="shared" si="2"/>
        <v>2700</v>
      </c>
      <c r="N152" t="b">
        <v>1</v>
      </c>
      <c r="O152">
        <v>353.28</v>
      </c>
      <c r="P152">
        <v>353.28</v>
      </c>
      <c r="Q152">
        <v>5400</v>
      </c>
      <c r="R152">
        <v>5400</v>
      </c>
    </row>
    <row r="153" spans="1:18" x14ac:dyDescent="0.25">
      <c r="A153" t="s">
        <v>379</v>
      </c>
      <c r="B153" t="s">
        <v>377</v>
      </c>
      <c r="C153" s="1">
        <v>41963</v>
      </c>
      <c r="D153" t="s">
        <v>93</v>
      </c>
      <c r="E153" t="s">
        <v>20</v>
      </c>
      <c r="F153" t="s">
        <v>378</v>
      </c>
      <c r="G153" t="s">
        <v>380</v>
      </c>
      <c r="H153">
        <v>1390</v>
      </c>
      <c r="I153">
        <v>3</v>
      </c>
      <c r="J153">
        <v>490</v>
      </c>
      <c r="K153">
        <v>2523.36</v>
      </c>
      <c r="L153">
        <v>7.0000000000000007E-2</v>
      </c>
      <c r="M153">
        <f t="shared" si="2"/>
        <v>2700</v>
      </c>
      <c r="N153" t="b">
        <v>1</v>
      </c>
      <c r="O153">
        <v>353.28</v>
      </c>
      <c r="P153">
        <v>353.28</v>
      </c>
      <c r="Q153">
        <v>5400</v>
      </c>
      <c r="R153">
        <v>5400</v>
      </c>
    </row>
    <row r="154" spans="1:18" x14ac:dyDescent="0.25">
      <c r="A154" t="s">
        <v>381</v>
      </c>
      <c r="B154" t="s">
        <v>382</v>
      </c>
      <c r="C154" s="1">
        <v>41963</v>
      </c>
      <c r="D154" t="s">
        <v>93</v>
      </c>
      <c r="E154" t="s">
        <v>20</v>
      </c>
      <c r="F154" t="s">
        <v>383</v>
      </c>
      <c r="G154" t="s">
        <v>384</v>
      </c>
      <c r="H154">
        <v>1228.5</v>
      </c>
      <c r="I154">
        <v>1</v>
      </c>
      <c r="K154">
        <v>1148.1300000000001</v>
      </c>
      <c r="L154">
        <v>7.0000000000000007E-2</v>
      </c>
      <c r="M154">
        <f t="shared" si="2"/>
        <v>1228.5</v>
      </c>
      <c r="N154" t="b">
        <v>1</v>
      </c>
      <c r="O154">
        <v>80.37</v>
      </c>
      <c r="P154">
        <v>80.37</v>
      </c>
      <c r="Q154">
        <v>1228.5</v>
      </c>
      <c r="R154">
        <v>1228.5</v>
      </c>
    </row>
    <row r="155" spans="1:18" x14ac:dyDescent="0.25">
      <c r="A155" t="s">
        <v>385</v>
      </c>
      <c r="B155" t="s">
        <v>386</v>
      </c>
      <c r="C155" s="1">
        <v>41963</v>
      </c>
      <c r="D155" t="s">
        <v>93</v>
      </c>
      <c r="E155" t="s">
        <v>20</v>
      </c>
      <c r="F155" t="s">
        <v>134</v>
      </c>
      <c r="G155" t="s">
        <v>387</v>
      </c>
      <c r="H155">
        <v>1600</v>
      </c>
      <c r="I155">
        <v>1</v>
      </c>
      <c r="J155">
        <v>250</v>
      </c>
      <c r="K155">
        <v>1261.68</v>
      </c>
      <c r="L155">
        <v>7.0000000000000007E-2</v>
      </c>
      <c r="M155">
        <f t="shared" si="2"/>
        <v>1350</v>
      </c>
      <c r="N155" t="b">
        <v>1</v>
      </c>
      <c r="O155">
        <v>668.6</v>
      </c>
      <c r="P155">
        <v>668.6</v>
      </c>
      <c r="Q155">
        <v>10220</v>
      </c>
      <c r="R155">
        <v>10220</v>
      </c>
    </row>
    <row r="156" spans="1:18" x14ac:dyDescent="0.25">
      <c r="A156" t="s">
        <v>388</v>
      </c>
      <c r="B156" t="s">
        <v>386</v>
      </c>
      <c r="C156" s="1">
        <v>41963</v>
      </c>
      <c r="D156" t="s">
        <v>93</v>
      </c>
      <c r="E156" t="s">
        <v>20</v>
      </c>
      <c r="F156" t="s">
        <v>134</v>
      </c>
      <c r="G156" t="s">
        <v>362</v>
      </c>
      <c r="H156">
        <v>1600</v>
      </c>
      <c r="I156">
        <v>1</v>
      </c>
      <c r="J156">
        <v>250</v>
      </c>
      <c r="K156">
        <v>1261.68</v>
      </c>
      <c r="L156">
        <v>7.0000000000000007E-2</v>
      </c>
      <c r="M156">
        <f t="shared" si="2"/>
        <v>1350</v>
      </c>
      <c r="N156" t="b">
        <v>1</v>
      </c>
      <c r="O156">
        <v>668.6</v>
      </c>
      <c r="P156">
        <v>668.6</v>
      </c>
      <c r="Q156">
        <v>10220</v>
      </c>
      <c r="R156">
        <v>10220</v>
      </c>
    </row>
    <row r="157" spans="1:18" x14ac:dyDescent="0.25">
      <c r="A157" t="s">
        <v>389</v>
      </c>
      <c r="B157" t="s">
        <v>386</v>
      </c>
      <c r="C157" s="1">
        <v>41963</v>
      </c>
      <c r="D157" t="s">
        <v>93</v>
      </c>
      <c r="E157" t="s">
        <v>20</v>
      </c>
      <c r="F157" t="s">
        <v>134</v>
      </c>
      <c r="G157" t="s">
        <v>324</v>
      </c>
      <c r="H157">
        <v>970</v>
      </c>
      <c r="I157">
        <v>1</v>
      </c>
      <c r="J157">
        <v>220</v>
      </c>
      <c r="K157">
        <v>700.93</v>
      </c>
      <c r="L157">
        <v>7.0000000000000007E-2</v>
      </c>
      <c r="M157">
        <f t="shared" si="2"/>
        <v>750</v>
      </c>
      <c r="N157" t="b">
        <v>1</v>
      </c>
      <c r="O157">
        <v>668.6</v>
      </c>
      <c r="P157">
        <v>668.6</v>
      </c>
      <c r="Q157">
        <v>10220</v>
      </c>
      <c r="R157">
        <v>10220</v>
      </c>
    </row>
    <row r="158" spans="1:18" x14ac:dyDescent="0.25">
      <c r="A158" t="s">
        <v>390</v>
      </c>
      <c r="B158" t="s">
        <v>386</v>
      </c>
      <c r="C158" s="1">
        <v>41963</v>
      </c>
      <c r="D158" t="s">
        <v>93</v>
      </c>
      <c r="E158" t="s">
        <v>20</v>
      </c>
      <c r="F158" t="s">
        <v>134</v>
      </c>
      <c r="G158" t="s">
        <v>322</v>
      </c>
      <c r="H158">
        <v>970</v>
      </c>
      <c r="I158">
        <v>1</v>
      </c>
      <c r="J158">
        <v>220</v>
      </c>
      <c r="K158">
        <v>700.93</v>
      </c>
      <c r="L158">
        <v>7.0000000000000007E-2</v>
      </c>
      <c r="M158">
        <f t="shared" si="2"/>
        <v>750</v>
      </c>
      <c r="N158" t="b">
        <v>1</v>
      </c>
      <c r="O158">
        <v>668.6</v>
      </c>
      <c r="P158">
        <v>668.6</v>
      </c>
      <c r="Q158">
        <v>10220</v>
      </c>
      <c r="R158">
        <v>10220</v>
      </c>
    </row>
    <row r="159" spans="1:18" x14ac:dyDescent="0.25">
      <c r="A159" t="s">
        <v>391</v>
      </c>
      <c r="B159" t="s">
        <v>386</v>
      </c>
      <c r="C159" s="1">
        <v>41963</v>
      </c>
      <c r="D159" t="s">
        <v>93</v>
      </c>
      <c r="E159" t="s">
        <v>20</v>
      </c>
      <c r="F159" t="s">
        <v>134</v>
      </c>
      <c r="G159" t="s">
        <v>366</v>
      </c>
      <c r="H159">
        <v>970</v>
      </c>
      <c r="I159">
        <v>1</v>
      </c>
      <c r="J159">
        <v>110</v>
      </c>
      <c r="K159">
        <v>803.74</v>
      </c>
      <c r="L159">
        <v>7.0000000000000007E-2</v>
      </c>
      <c r="M159">
        <f t="shared" si="2"/>
        <v>860</v>
      </c>
      <c r="N159" t="b">
        <v>1</v>
      </c>
      <c r="O159">
        <v>668.6</v>
      </c>
      <c r="P159">
        <v>668.6</v>
      </c>
      <c r="Q159">
        <v>10220</v>
      </c>
      <c r="R159">
        <v>10220</v>
      </c>
    </row>
    <row r="160" spans="1:18" x14ac:dyDescent="0.25">
      <c r="A160" t="s">
        <v>392</v>
      </c>
      <c r="B160" t="s">
        <v>386</v>
      </c>
      <c r="C160" s="1">
        <v>41963</v>
      </c>
      <c r="D160" t="s">
        <v>93</v>
      </c>
      <c r="E160" t="s">
        <v>20</v>
      </c>
      <c r="F160" t="s">
        <v>134</v>
      </c>
      <c r="G160" t="s">
        <v>393</v>
      </c>
      <c r="H160">
        <v>970</v>
      </c>
      <c r="I160">
        <v>1</v>
      </c>
      <c r="J160">
        <v>110</v>
      </c>
      <c r="K160">
        <v>803.74</v>
      </c>
      <c r="L160">
        <v>7.0000000000000007E-2</v>
      </c>
      <c r="M160">
        <f t="shared" si="2"/>
        <v>860</v>
      </c>
      <c r="N160" t="b">
        <v>1</v>
      </c>
      <c r="O160">
        <v>668.6</v>
      </c>
      <c r="P160">
        <v>668.6</v>
      </c>
      <c r="Q160">
        <v>10220</v>
      </c>
      <c r="R160">
        <v>10220</v>
      </c>
    </row>
    <row r="161" spans="1:18" x14ac:dyDescent="0.25">
      <c r="A161" t="s">
        <v>394</v>
      </c>
      <c r="B161" t="s">
        <v>386</v>
      </c>
      <c r="C161" s="1">
        <v>41963</v>
      </c>
      <c r="D161" t="s">
        <v>93</v>
      </c>
      <c r="E161" t="s">
        <v>20</v>
      </c>
      <c r="F161" t="s">
        <v>134</v>
      </c>
      <c r="G161" t="s">
        <v>358</v>
      </c>
      <c r="H161">
        <v>1390</v>
      </c>
      <c r="I161">
        <v>1</v>
      </c>
      <c r="J161">
        <v>190</v>
      </c>
      <c r="K161">
        <v>1121.5</v>
      </c>
      <c r="L161">
        <v>7.0000000000000007E-2</v>
      </c>
      <c r="M161">
        <f t="shared" si="2"/>
        <v>1200</v>
      </c>
      <c r="N161" t="b">
        <v>1</v>
      </c>
      <c r="O161">
        <v>668.6</v>
      </c>
      <c r="P161">
        <v>668.6</v>
      </c>
      <c r="Q161">
        <v>10220</v>
      </c>
      <c r="R161">
        <v>10220</v>
      </c>
    </row>
    <row r="162" spans="1:18" x14ac:dyDescent="0.25">
      <c r="A162" t="s">
        <v>395</v>
      </c>
      <c r="B162" t="s">
        <v>386</v>
      </c>
      <c r="C162" s="1">
        <v>41963</v>
      </c>
      <c r="D162" t="s">
        <v>93</v>
      </c>
      <c r="E162" t="s">
        <v>20</v>
      </c>
      <c r="F162" t="s">
        <v>134</v>
      </c>
      <c r="G162" t="s">
        <v>360</v>
      </c>
      <c r="H162">
        <v>1390</v>
      </c>
      <c r="I162">
        <v>1</v>
      </c>
      <c r="J162">
        <v>190</v>
      </c>
      <c r="K162">
        <v>1121.5</v>
      </c>
      <c r="L162">
        <v>7.0000000000000007E-2</v>
      </c>
      <c r="M162">
        <f t="shared" si="2"/>
        <v>1200</v>
      </c>
      <c r="N162" t="b">
        <v>1</v>
      </c>
      <c r="O162">
        <v>668.6</v>
      </c>
      <c r="P162">
        <v>668.6</v>
      </c>
      <c r="Q162">
        <v>10220</v>
      </c>
      <c r="R162">
        <v>10220</v>
      </c>
    </row>
    <row r="163" spans="1:18" x14ac:dyDescent="0.25">
      <c r="A163" t="s">
        <v>396</v>
      </c>
      <c r="B163" t="s">
        <v>386</v>
      </c>
      <c r="C163" s="1">
        <v>41963</v>
      </c>
      <c r="D163" t="s">
        <v>93</v>
      </c>
      <c r="E163" t="s">
        <v>20</v>
      </c>
      <c r="F163" t="s">
        <v>134</v>
      </c>
      <c r="G163" t="s">
        <v>397</v>
      </c>
      <c r="H163">
        <v>1180</v>
      </c>
      <c r="I163">
        <v>1</v>
      </c>
      <c r="J163">
        <v>230</v>
      </c>
      <c r="K163">
        <v>887.85</v>
      </c>
      <c r="L163">
        <v>7.0000000000000007E-2</v>
      </c>
      <c r="M163">
        <f t="shared" si="2"/>
        <v>950</v>
      </c>
      <c r="N163" t="b">
        <v>1</v>
      </c>
      <c r="O163">
        <v>668.6</v>
      </c>
      <c r="P163">
        <v>668.6</v>
      </c>
      <c r="Q163">
        <v>10220</v>
      </c>
      <c r="R163">
        <v>10220</v>
      </c>
    </row>
    <row r="164" spans="1:18" x14ac:dyDescent="0.25">
      <c r="A164" t="s">
        <v>398</v>
      </c>
      <c r="B164" t="s">
        <v>386</v>
      </c>
      <c r="C164" s="1">
        <v>41963</v>
      </c>
      <c r="D164" t="s">
        <v>93</v>
      </c>
      <c r="E164" t="s">
        <v>20</v>
      </c>
      <c r="F164" t="s">
        <v>134</v>
      </c>
      <c r="G164" t="s">
        <v>399</v>
      </c>
      <c r="H164">
        <v>1180</v>
      </c>
      <c r="I164">
        <v>1</v>
      </c>
      <c r="J164">
        <v>230</v>
      </c>
      <c r="K164">
        <v>887.85</v>
      </c>
      <c r="L164">
        <v>7.0000000000000007E-2</v>
      </c>
      <c r="M164">
        <f t="shared" si="2"/>
        <v>950</v>
      </c>
      <c r="N164" t="b">
        <v>1</v>
      </c>
      <c r="O164">
        <v>668.6</v>
      </c>
      <c r="P164">
        <v>668.6</v>
      </c>
      <c r="Q164">
        <v>10220</v>
      </c>
      <c r="R164">
        <v>10220</v>
      </c>
    </row>
    <row r="165" spans="1:18" x14ac:dyDescent="0.25">
      <c r="A165" t="s">
        <v>400</v>
      </c>
      <c r="B165" t="s">
        <v>386</v>
      </c>
      <c r="C165" s="1">
        <v>41963</v>
      </c>
      <c r="D165" t="s">
        <v>93</v>
      </c>
      <c r="E165" t="s">
        <v>20</v>
      </c>
      <c r="F165" t="s">
        <v>134</v>
      </c>
      <c r="G165" t="s">
        <v>149</v>
      </c>
      <c r="I165">
        <v>2</v>
      </c>
      <c r="L165">
        <v>7.0000000000000007E-2</v>
      </c>
      <c r="M165">
        <f t="shared" si="2"/>
        <v>0</v>
      </c>
      <c r="N165" t="b">
        <v>1</v>
      </c>
      <c r="O165">
        <v>668.6</v>
      </c>
      <c r="P165">
        <v>668.6</v>
      </c>
      <c r="Q165">
        <v>10220</v>
      </c>
      <c r="R165">
        <v>10220</v>
      </c>
    </row>
    <row r="166" spans="1:18" x14ac:dyDescent="0.25">
      <c r="A166" t="s">
        <v>401</v>
      </c>
      <c r="B166" t="s">
        <v>386</v>
      </c>
      <c r="C166" s="1">
        <v>41963</v>
      </c>
      <c r="D166" t="s">
        <v>93</v>
      </c>
      <c r="E166" t="s">
        <v>20</v>
      </c>
      <c r="F166" t="s">
        <v>134</v>
      </c>
      <c r="G166" t="s">
        <v>175</v>
      </c>
      <c r="I166">
        <v>2</v>
      </c>
      <c r="L166">
        <v>7.0000000000000007E-2</v>
      </c>
      <c r="M166">
        <f t="shared" si="2"/>
        <v>0</v>
      </c>
      <c r="N166" t="b">
        <v>1</v>
      </c>
      <c r="O166">
        <v>668.6</v>
      </c>
      <c r="P166">
        <v>668.6</v>
      </c>
      <c r="Q166">
        <v>10220</v>
      </c>
      <c r="R166">
        <v>10220</v>
      </c>
    </row>
    <row r="167" spans="1:18" x14ac:dyDescent="0.25">
      <c r="A167" t="s">
        <v>402</v>
      </c>
      <c r="B167" t="s">
        <v>403</v>
      </c>
      <c r="C167" s="1">
        <v>41963</v>
      </c>
      <c r="D167" t="s">
        <v>93</v>
      </c>
      <c r="E167" t="s">
        <v>20</v>
      </c>
      <c r="F167" t="s">
        <v>152</v>
      </c>
      <c r="G167" t="s">
        <v>387</v>
      </c>
      <c r="H167">
        <v>1600</v>
      </c>
      <c r="I167">
        <v>1</v>
      </c>
      <c r="J167">
        <v>250</v>
      </c>
      <c r="K167">
        <v>1261.68</v>
      </c>
      <c r="L167">
        <v>7.0000000000000007E-2</v>
      </c>
      <c r="M167">
        <f t="shared" si="2"/>
        <v>1350</v>
      </c>
      <c r="N167" t="b">
        <v>1</v>
      </c>
      <c r="O167">
        <v>668.6</v>
      </c>
      <c r="P167">
        <v>668.6</v>
      </c>
      <c r="Q167">
        <v>10220</v>
      </c>
      <c r="R167">
        <v>10220</v>
      </c>
    </row>
    <row r="168" spans="1:18" x14ac:dyDescent="0.25">
      <c r="A168" t="s">
        <v>404</v>
      </c>
      <c r="B168" t="s">
        <v>403</v>
      </c>
      <c r="C168" s="1">
        <v>41963</v>
      </c>
      <c r="D168" t="s">
        <v>93</v>
      </c>
      <c r="E168" t="s">
        <v>20</v>
      </c>
      <c r="F168" t="s">
        <v>152</v>
      </c>
      <c r="G168" t="s">
        <v>362</v>
      </c>
      <c r="H168">
        <v>1600</v>
      </c>
      <c r="I168">
        <v>1</v>
      </c>
      <c r="J168">
        <v>250</v>
      </c>
      <c r="K168">
        <v>1261.68</v>
      </c>
      <c r="L168">
        <v>7.0000000000000007E-2</v>
      </c>
      <c r="M168">
        <f t="shared" si="2"/>
        <v>1350</v>
      </c>
      <c r="N168" t="b">
        <v>1</v>
      </c>
      <c r="O168">
        <v>668.6</v>
      </c>
      <c r="P168">
        <v>668.6</v>
      </c>
      <c r="Q168">
        <v>10220</v>
      </c>
      <c r="R168">
        <v>10220</v>
      </c>
    </row>
    <row r="169" spans="1:18" x14ac:dyDescent="0.25">
      <c r="A169" t="s">
        <v>405</v>
      </c>
      <c r="B169" t="s">
        <v>403</v>
      </c>
      <c r="C169" s="1">
        <v>41963</v>
      </c>
      <c r="D169" t="s">
        <v>93</v>
      </c>
      <c r="E169" t="s">
        <v>20</v>
      </c>
      <c r="F169" t="s">
        <v>152</v>
      </c>
      <c r="G169" t="s">
        <v>324</v>
      </c>
      <c r="H169">
        <v>970</v>
      </c>
      <c r="I169">
        <v>1</v>
      </c>
      <c r="J169">
        <v>220</v>
      </c>
      <c r="K169">
        <v>700.93</v>
      </c>
      <c r="L169">
        <v>7.0000000000000007E-2</v>
      </c>
      <c r="M169">
        <f t="shared" si="2"/>
        <v>750</v>
      </c>
      <c r="N169" t="b">
        <v>1</v>
      </c>
      <c r="O169">
        <v>668.6</v>
      </c>
      <c r="P169">
        <v>668.6</v>
      </c>
      <c r="Q169">
        <v>10220</v>
      </c>
      <c r="R169">
        <v>10220</v>
      </c>
    </row>
    <row r="170" spans="1:18" x14ac:dyDescent="0.25">
      <c r="A170" t="s">
        <v>406</v>
      </c>
      <c r="B170" t="s">
        <v>403</v>
      </c>
      <c r="C170" s="1">
        <v>41963</v>
      </c>
      <c r="D170" t="s">
        <v>93</v>
      </c>
      <c r="E170" t="s">
        <v>20</v>
      </c>
      <c r="F170" t="s">
        <v>152</v>
      </c>
      <c r="G170" t="s">
        <v>322</v>
      </c>
      <c r="H170">
        <v>970</v>
      </c>
      <c r="I170">
        <v>1</v>
      </c>
      <c r="J170">
        <v>220</v>
      </c>
      <c r="K170">
        <v>700.93</v>
      </c>
      <c r="L170">
        <v>7.0000000000000007E-2</v>
      </c>
      <c r="M170">
        <f t="shared" si="2"/>
        <v>750</v>
      </c>
      <c r="N170" t="b">
        <v>1</v>
      </c>
      <c r="O170">
        <v>668.6</v>
      </c>
      <c r="P170">
        <v>668.6</v>
      </c>
      <c r="Q170">
        <v>10220</v>
      </c>
      <c r="R170">
        <v>10220</v>
      </c>
    </row>
    <row r="171" spans="1:18" x14ac:dyDescent="0.25">
      <c r="A171" t="s">
        <v>407</v>
      </c>
      <c r="B171" t="s">
        <v>403</v>
      </c>
      <c r="C171" s="1">
        <v>41963</v>
      </c>
      <c r="D171" t="s">
        <v>93</v>
      </c>
      <c r="E171" t="s">
        <v>20</v>
      </c>
      <c r="F171" t="s">
        <v>152</v>
      </c>
      <c r="G171" t="s">
        <v>366</v>
      </c>
      <c r="H171">
        <v>970</v>
      </c>
      <c r="I171">
        <v>1</v>
      </c>
      <c r="J171">
        <v>110</v>
      </c>
      <c r="K171">
        <v>803.74</v>
      </c>
      <c r="L171">
        <v>7.0000000000000007E-2</v>
      </c>
      <c r="M171">
        <f t="shared" si="2"/>
        <v>860</v>
      </c>
      <c r="N171" t="b">
        <v>1</v>
      </c>
      <c r="O171">
        <v>668.6</v>
      </c>
      <c r="P171">
        <v>668.6</v>
      </c>
      <c r="Q171">
        <v>10220</v>
      </c>
      <c r="R171">
        <v>10220</v>
      </c>
    </row>
    <row r="172" spans="1:18" x14ac:dyDescent="0.25">
      <c r="A172" t="s">
        <v>408</v>
      </c>
      <c r="B172" t="s">
        <v>403</v>
      </c>
      <c r="C172" s="1">
        <v>41963</v>
      </c>
      <c r="D172" t="s">
        <v>93</v>
      </c>
      <c r="E172" t="s">
        <v>20</v>
      </c>
      <c r="F172" t="s">
        <v>152</v>
      </c>
      <c r="G172" t="s">
        <v>393</v>
      </c>
      <c r="H172">
        <v>970</v>
      </c>
      <c r="I172">
        <v>1</v>
      </c>
      <c r="J172">
        <v>110</v>
      </c>
      <c r="K172">
        <v>803.74</v>
      </c>
      <c r="L172">
        <v>7.0000000000000007E-2</v>
      </c>
      <c r="M172">
        <f t="shared" si="2"/>
        <v>860</v>
      </c>
      <c r="N172" t="b">
        <v>1</v>
      </c>
      <c r="O172">
        <v>668.6</v>
      </c>
      <c r="P172">
        <v>668.6</v>
      </c>
      <c r="Q172">
        <v>10220</v>
      </c>
      <c r="R172">
        <v>10220</v>
      </c>
    </row>
    <row r="173" spans="1:18" x14ac:dyDescent="0.25">
      <c r="A173" t="s">
        <v>409</v>
      </c>
      <c r="B173" t="s">
        <v>403</v>
      </c>
      <c r="C173" s="1">
        <v>41963</v>
      </c>
      <c r="D173" t="s">
        <v>93</v>
      </c>
      <c r="E173" t="s">
        <v>20</v>
      </c>
      <c r="F173" t="s">
        <v>152</v>
      </c>
      <c r="G173" t="s">
        <v>358</v>
      </c>
      <c r="H173">
        <v>1390</v>
      </c>
      <c r="I173">
        <v>1</v>
      </c>
      <c r="J173">
        <v>190</v>
      </c>
      <c r="K173">
        <v>1121.5</v>
      </c>
      <c r="L173">
        <v>7.0000000000000007E-2</v>
      </c>
      <c r="M173">
        <f t="shared" si="2"/>
        <v>1200</v>
      </c>
      <c r="N173" t="b">
        <v>1</v>
      </c>
      <c r="O173">
        <v>668.6</v>
      </c>
      <c r="P173">
        <v>668.6</v>
      </c>
      <c r="Q173">
        <v>10220</v>
      </c>
      <c r="R173">
        <v>10220</v>
      </c>
    </row>
    <row r="174" spans="1:18" x14ac:dyDescent="0.25">
      <c r="A174" t="s">
        <v>410</v>
      </c>
      <c r="B174" t="s">
        <v>403</v>
      </c>
      <c r="C174" s="1">
        <v>41963</v>
      </c>
      <c r="D174" t="s">
        <v>93</v>
      </c>
      <c r="E174" t="s">
        <v>20</v>
      </c>
      <c r="F174" t="s">
        <v>152</v>
      </c>
      <c r="G174" t="s">
        <v>360</v>
      </c>
      <c r="H174">
        <v>1390</v>
      </c>
      <c r="I174">
        <v>1</v>
      </c>
      <c r="J174">
        <v>190</v>
      </c>
      <c r="K174">
        <v>1121.5</v>
      </c>
      <c r="L174">
        <v>7.0000000000000007E-2</v>
      </c>
      <c r="M174">
        <f t="shared" si="2"/>
        <v>1200</v>
      </c>
      <c r="N174" t="b">
        <v>1</v>
      </c>
      <c r="O174">
        <v>668.6</v>
      </c>
      <c r="P174">
        <v>668.6</v>
      </c>
      <c r="Q174">
        <v>10220</v>
      </c>
      <c r="R174">
        <v>10220</v>
      </c>
    </row>
    <row r="175" spans="1:18" x14ac:dyDescent="0.25">
      <c r="A175" t="s">
        <v>411</v>
      </c>
      <c r="B175" t="s">
        <v>403</v>
      </c>
      <c r="C175" s="1">
        <v>41963</v>
      </c>
      <c r="D175" t="s">
        <v>93</v>
      </c>
      <c r="E175" t="s">
        <v>20</v>
      </c>
      <c r="F175" t="s">
        <v>152</v>
      </c>
      <c r="G175" t="s">
        <v>397</v>
      </c>
      <c r="H175">
        <v>1180</v>
      </c>
      <c r="I175">
        <v>1</v>
      </c>
      <c r="J175">
        <v>230</v>
      </c>
      <c r="K175">
        <v>887.85</v>
      </c>
      <c r="L175">
        <v>7.0000000000000007E-2</v>
      </c>
      <c r="M175">
        <f t="shared" si="2"/>
        <v>950</v>
      </c>
      <c r="N175" t="b">
        <v>1</v>
      </c>
      <c r="O175">
        <v>668.6</v>
      </c>
      <c r="P175">
        <v>668.6</v>
      </c>
      <c r="Q175">
        <v>10220</v>
      </c>
      <c r="R175">
        <v>10220</v>
      </c>
    </row>
    <row r="176" spans="1:18" x14ac:dyDescent="0.25">
      <c r="A176" t="s">
        <v>412</v>
      </c>
      <c r="B176" t="s">
        <v>403</v>
      </c>
      <c r="C176" s="1">
        <v>41963</v>
      </c>
      <c r="D176" t="s">
        <v>93</v>
      </c>
      <c r="E176" t="s">
        <v>20</v>
      </c>
      <c r="F176" t="s">
        <v>152</v>
      </c>
      <c r="G176" t="s">
        <v>399</v>
      </c>
      <c r="H176">
        <v>1180</v>
      </c>
      <c r="I176">
        <v>1</v>
      </c>
      <c r="J176">
        <v>230</v>
      </c>
      <c r="K176">
        <v>887.85</v>
      </c>
      <c r="L176">
        <v>7.0000000000000007E-2</v>
      </c>
      <c r="M176">
        <f t="shared" si="2"/>
        <v>950</v>
      </c>
      <c r="N176" t="b">
        <v>1</v>
      </c>
      <c r="O176">
        <v>668.6</v>
      </c>
      <c r="P176">
        <v>668.6</v>
      </c>
      <c r="Q176">
        <v>10220</v>
      </c>
      <c r="R176">
        <v>10220</v>
      </c>
    </row>
    <row r="177" spans="1:18" x14ac:dyDescent="0.25">
      <c r="A177" t="s">
        <v>413</v>
      </c>
      <c r="B177" t="s">
        <v>403</v>
      </c>
      <c r="C177" s="1">
        <v>41963</v>
      </c>
      <c r="D177" t="s">
        <v>93</v>
      </c>
      <c r="E177" t="s">
        <v>20</v>
      </c>
      <c r="F177" t="s">
        <v>152</v>
      </c>
      <c r="G177" t="s">
        <v>149</v>
      </c>
      <c r="I177">
        <v>2</v>
      </c>
      <c r="L177">
        <v>7.0000000000000007E-2</v>
      </c>
      <c r="M177">
        <f t="shared" si="2"/>
        <v>0</v>
      </c>
      <c r="N177" t="b">
        <v>1</v>
      </c>
      <c r="O177">
        <v>668.6</v>
      </c>
      <c r="P177">
        <v>668.6</v>
      </c>
      <c r="Q177">
        <v>10220</v>
      </c>
      <c r="R177">
        <v>10220</v>
      </c>
    </row>
    <row r="178" spans="1:18" x14ac:dyDescent="0.25">
      <c r="A178" t="s">
        <v>414</v>
      </c>
      <c r="B178" t="s">
        <v>403</v>
      </c>
      <c r="C178" s="1">
        <v>41963</v>
      </c>
      <c r="D178" t="s">
        <v>93</v>
      </c>
      <c r="E178" t="s">
        <v>20</v>
      </c>
      <c r="F178" t="s">
        <v>152</v>
      </c>
      <c r="G178" t="s">
        <v>175</v>
      </c>
      <c r="I178">
        <v>2</v>
      </c>
      <c r="L178">
        <v>7.0000000000000007E-2</v>
      </c>
      <c r="M178">
        <f t="shared" si="2"/>
        <v>0</v>
      </c>
      <c r="N178" t="b">
        <v>1</v>
      </c>
      <c r="O178">
        <v>668.6</v>
      </c>
      <c r="P178">
        <v>668.6</v>
      </c>
      <c r="Q178">
        <v>10220</v>
      </c>
      <c r="R178">
        <v>10220</v>
      </c>
    </row>
    <row r="179" spans="1:18" x14ac:dyDescent="0.25">
      <c r="A179" t="s">
        <v>415</v>
      </c>
      <c r="B179" t="s">
        <v>416</v>
      </c>
      <c r="C179" s="1">
        <v>41963</v>
      </c>
      <c r="D179" t="s">
        <v>93</v>
      </c>
      <c r="E179" t="s">
        <v>20</v>
      </c>
      <c r="F179" t="s">
        <v>417</v>
      </c>
      <c r="G179" t="s">
        <v>418</v>
      </c>
      <c r="H179">
        <v>1810</v>
      </c>
      <c r="I179">
        <v>1</v>
      </c>
      <c r="J179">
        <v>1810</v>
      </c>
      <c r="L179">
        <v>7.0000000000000007E-2</v>
      </c>
      <c r="M179">
        <f t="shared" si="2"/>
        <v>0</v>
      </c>
      <c r="N179" t="b">
        <v>1</v>
      </c>
    </row>
    <row r="180" spans="1:18" x14ac:dyDescent="0.25">
      <c r="A180" t="s">
        <v>419</v>
      </c>
      <c r="B180" t="s">
        <v>416</v>
      </c>
      <c r="C180" s="1">
        <v>41963</v>
      </c>
      <c r="D180" t="s">
        <v>93</v>
      </c>
      <c r="E180" t="s">
        <v>20</v>
      </c>
      <c r="F180" t="s">
        <v>417</v>
      </c>
      <c r="G180" t="s">
        <v>324</v>
      </c>
      <c r="H180">
        <v>970</v>
      </c>
      <c r="I180">
        <v>1</v>
      </c>
      <c r="J180">
        <v>970</v>
      </c>
      <c r="L180">
        <v>7.0000000000000007E-2</v>
      </c>
      <c r="M180">
        <f t="shared" si="2"/>
        <v>0</v>
      </c>
      <c r="N180" t="b">
        <v>1</v>
      </c>
    </row>
    <row r="181" spans="1:18" x14ac:dyDescent="0.25">
      <c r="A181" t="s">
        <v>420</v>
      </c>
      <c r="B181" t="s">
        <v>421</v>
      </c>
      <c r="C181" s="1">
        <v>41962</v>
      </c>
      <c r="D181" t="s">
        <v>58</v>
      </c>
      <c r="E181" t="s">
        <v>20</v>
      </c>
      <c r="F181" t="s">
        <v>422</v>
      </c>
      <c r="G181" t="s">
        <v>330</v>
      </c>
      <c r="H181">
        <v>139</v>
      </c>
      <c r="I181">
        <v>1416</v>
      </c>
      <c r="K181">
        <v>183947.66</v>
      </c>
      <c r="L181">
        <v>7.0000000000000007E-2</v>
      </c>
      <c r="M181">
        <f t="shared" si="2"/>
        <v>196824</v>
      </c>
      <c r="O181">
        <v>12876.34</v>
      </c>
      <c r="P181">
        <v>12876.34</v>
      </c>
      <c r="Q181">
        <v>196824</v>
      </c>
      <c r="R181">
        <v>196824</v>
      </c>
    </row>
    <row r="182" spans="1:18" x14ac:dyDescent="0.25">
      <c r="A182" t="s">
        <v>423</v>
      </c>
      <c r="B182" t="s">
        <v>424</v>
      </c>
      <c r="C182" s="1">
        <v>41962</v>
      </c>
      <c r="D182" t="s">
        <v>19</v>
      </c>
      <c r="E182" t="s">
        <v>20</v>
      </c>
      <c r="F182" t="s">
        <v>425</v>
      </c>
      <c r="G182" t="s">
        <v>328</v>
      </c>
      <c r="H182">
        <v>60</v>
      </c>
      <c r="I182">
        <v>60</v>
      </c>
      <c r="J182">
        <v>8.27</v>
      </c>
      <c r="K182">
        <v>2900.69</v>
      </c>
      <c r="L182">
        <v>7.0000000000000007E-2</v>
      </c>
      <c r="M182">
        <f t="shared" si="2"/>
        <v>3103.7</v>
      </c>
      <c r="O182">
        <v>527.92999999999995</v>
      </c>
      <c r="P182">
        <v>527.92999999999995</v>
      </c>
      <c r="Q182">
        <v>8069.72</v>
      </c>
      <c r="R182">
        <v>8069.72</v>
      </c>
    </row>
    <row r="183" spans="1:18" x14ac:dyDescent="0.25">
      <c r="A183" t="s">
        <v>426</v>
      </c>
      <c r="B183" t="s">
        <v>424</v>
      </c>
      <c r="C183" s="1">
        <v>41962</v>
      </c>
      <c r="D183" t="s">
        <v>19</v>
      </c>
      <c r="E183" t="s">
        <v>20</v>
      </c>
      <c r="F183" t="s">
        <v>425</v>
      </c>
      <c r="G183" t="s">
        <v>427</v>
      </c>
      <c r="H183">
        <v>60</v>
      </c>
      <c r="I183">
        <v>96</v>
      </c>
      <c r="J183">
        <v>8.27</v>
      </c>
      <c r="K183">
        <v>4641.1000000000004</v>
      </c>
      <c r="L183">
        <v>7.0000000000000007E-2</v>
      </c>
      <c r="M183">
        <f t="shared" si="2"/>
        <v>4966</v>
      </c>
      <c r="O183">
        <v>527.92999999999995</v>
      </c>
      <c r="P183">
        <v>527.92999999999995</v>
      </c>
      <c r="Q183">
        <v>8069.72</v>
      </c>
      <c r="R183">
        <v>8069.72</v>
      </c>
    </row>
    <row r="184" spans="1:18" x14ac:dyDescent="0.25">
      <c r="A184" t="s">
        <v>428</v>
      </c>
      <c r="B184" t="s">
        <v>429</v>
      </c>
      <c r="C184" s="1">
        <v>41962</v>
      </c>
      <c r="D184" t="s">
        <v>93</v>
      </c>
      <c r="E184" t="s">
        <v>20</v>
      </c>
      <c r="F184" t="s">
        <v>430</v>
      </c>
      <c r="G184" t="s">
        <v>431</v>
      </c>
      <c r="H184">
        <v>70</v>
      </c>
      <c r="I184">
        <v>6</v>
      </c>
      <c r="J184">
        <v>18</v>
      </c>
      <c r="K184">
        <v>291.58999999999997</v>
      </c>
      <c r="L184">
        <v>7.0000000000000007E-2</v>
      </c>
      <c r="M184">
        <f t="shared" si="2"/>
        <v>312</v>
      </c>
      <c r="N184" t="b">
        <v>1</v>
      </c>
      <c r="O184">
        <v>127.18</v>
      </c>
      <c r="P184">
        <v>127.18</v>
      </c>
      <c r="Q184">
        <v>1944</v>
      </c>
      <c r="R184">
        <v>1944</v>
      </c>
    </row>
    <row r="185" spans="1:18" x14ac:dyDescent="0.25">
      <c r="A185" t="s">
        <v>432</v>
      </c>
      <c r="B185" t="s">
        <v>429</v>
      </c>
      <c r="C185" s="1">
        <v>41962</v>
      </c>
      <c r="D185" t="s">
        <v>93</v>
      </c>
      <c r="E185" t="s">
        <v>20</v>
      </c>
      <c r="F185" t="s">
        <v>430</v>
      </c>
      <c r="G185" t="s">
        <v>433</v>
      </c>
      <c r="H185">
        <v>70</v>
      </c>
      <c r="I185">
        <v>6</v>
      </c>
      <c r="J185">
        <v>18</v>
      </c>
      <c r="K185">
        <v>291.58999999999997</v>
      </c>
      <c r="L185">
        <v>7.0000000000000007E-2</v>
      </c>
      <c r="M185">
        <f t="shared" si="2"/>
        <v>312</v>
      </c>
      <c r="N185" t="b">
        <v>1</v>
      </c>
      <c r="O185">
        <v>127.18</v>
      </c>
      <c r="P185">
        <v>127.18</v>
      </c>
      <c r="Q185">
        <v>1944</v>
      </c>
      <c r="R185">
        <v>1944</v>
      </c>
    </row>
    <row r="186" spans="1:18" x14ac:dyDescent="0.25">
      <c r="A186" t="s">
        <v>434</v>
      </c>
      <c r="B186" t="s">
        <v>429</v>
      </c>
      <c r="C186" s="1">
        <v>41962</v>
      </c>
      <c r="D186" t="s">
        <v>93</v>
      </c>
      <c r="E186" t="s">
        <v>20</v>
      </c>
      <c r="F186" t="s">
        <v>430</v>
      </c>
      <c r="G186" t="s">
        <v>350</v>
      </c>
      <c r="H186">
        <v>390</v>
      </c>
      <c r="I186">
        <v>6</v>
      </c>
      <c r="J186">
        <v>170</v>
      </c>
      <c r="K186">
        <v>1233.6400000000001</v>
      </c>
      <c r="L186">
        <v>7.0000000000000007E-2</v>
      </c>
      <c r="M186">
        <f t="shared" si="2"/>
        <v>1320</v>
      </c>
      <c r="N186" t="b">
        <v>1</v>
      </c>
      <c r="O186">
        <v>127.18</v>
      </c>
      <c r="P186">
        <v>127.18</v>
      </c>
      <c r="Q186">
        <v>1944</v>
      </c>
      <c r="R186">
        <v>1944</v>
      </c>
    </row>
    <row r="187" spans="1:18" x14ac:dyDescent="0.25">
      <c r="A187" t="s">
        <v>435</v>
      </c>
      <c r="B187" t="s">
        <v>436</v>
      </c>
      <c r="C187" s="1">
        <v>41962</v>
      </c>
      <c r="D187" t="s">
        <v>93</v>
      </c>
      <c r="E187" t="s">
        <v>20</v>
      </c>
      <c r="F187" t="s">
        <v>437</v>
      </c>
      <c r="G187" t="s">
        <v>342</v>
      </c>
      <c r="H187">
        <v>900</v>
      </c>
      <c r="I187">
        <v>2</v>
      </c>
      <c r="J187">
        <v>110</v>
      </c>
      <c r="K187">
        <v>1476.64</v>
      </c>
      <c r="L187">
        <v>7.0000000000000007E-2</v>
      </c>
      <c r="M187">
        <f t="shared" si="2"/>
        <v>1580</v>
      </c>
      <c r="N187" t="b">
        <v>1</v>
      </c>
      <c r="O187">
        <v>2096.09</v>
      </c>
      <c r="P187">
        <v>2096.09</v>
      </c>
      <c r="Q187">
        <v>32040</v>
      </c>
      <c r="R187">
        <v>32040</v>
      </c>
    </row>
    <row r="188" spans="1:18" x14ac:dyDescent="0.25">
      <c r="A188" t="s">
        <v>438</v>
      </c>
      <c r="B188" t="s">
        <v>436</v>
      </c>
      <c r="C188" s="1">
        <v>41962</v>
      </c>
      <c r="D188" t="s">
        <v>93</v>
      </c>
      <c r="E188" t="s">
        <v>20</v>
      </c>
      <c r="F188" t="s">
        <v>437</v>
      </c>
      <c r="G188" t="s">
        <v>340</v>
      </c>
      <c r="H188">
        <v>900</v>
      </c>
      <c r="I188">
        <v>2</v>
      </c>
      <c r="J188">
        <v>110</v>
      </c>
      <c r="K188">
        <v>1476.64</v>
      </c>
      <c r="L188">
        <v>7.0000000000000007E-2</v>
      </c>
      <c r="M188">
        <f t="shared" si="2"/>
        <v>1580</v>
      </c>
      <c r="N188" t="b">
        <v>1</v>
      </c>
      <c r="O188">
        <v>2096.09</v>
      </c>
      <c r="P188">
        <v>2096.09</v>
      </c>
      <c r="Q188">
        <v>32040</v>
      </c>
      <c r="R188">
        <v>32040</v>
      </c>
    </row>
    <row r="189" spans="1:18" x14ac:dyDescent="0.25">
      <c r="A189" t="s">
        <v>439</v>
      </c>
      <c r="B189" t="s">
        <v>436</v>
      </c>
      <c r="C189" s="1">
        <v>41962</v>
      </c>
      <c r="D189" t="s">
        <v>93</v>
      </c>
      <c r="E189" t="s">
        <v>20</v>
      </c>
      <c r="F189" t="s">
        <v>437</v>
      </c>
      <c r="G189" t="s">
        <v>366</v>
      </c>
      <c r="H189">
        <v>970</v>
      </c>
      <c r="I189">
        <v>2</v>
      </c>
      <c r="J189">
        <v>110</v>
      </c>
      <c r="K189">
        <v>1607.48</v>
      </c>
      <c r="L189">
        <v>7.0000000000000007E-2</v>
      </c>
      <c r="M189">
        <f t="shared" si="2"/>
        <v>1720</v>
      </c>
      <c r="N189" t="b">
        <v>1</v>
      </c>
      <c r="O189">
        <v>2096.09</v>
      </c>
      <c r="P189">
        <v>2096.09</v>
      </c>
      <c r="Q189">
        <v>32040</v>
      </c>
      <c r="R189">
        <v>32040</v>
      </c>
    </row>
    <row r="190" spans="1:18" x14ac:dyDescent="0.25">
      <c r="A190" t="s">
        <v>440</v>
      </c>
      <c r="B190" t="s">
        <v>436</v>
      </c>
      <c r="C190" s="1">
        <v>41962</v>
      </c>
      <c r="D190" t="s">
        <v>93</v>
      </c>
      <c r="E190" t="s">
        <v>20</v>
      </c>
      <c r="F190" t="s">
        <v>437</v>
      </c>
      <c r="G190" t="s">
        <v>393</v>
      </c>
      <c r="H190">
        <v>970</v>
      </c>
      <c r="I190">
        <v>2</v>
      </c>
      <c r="J190">
        <v>110</v>
      </c>
      <c r="K190">
        <v>1607.48</v>
      </c>
      <c r="L190">
        <v>7.0000000000000007E-2</v>
      </c>
      <c r="M190">
        <f t="shared" si="2"/>
        <v>1720</v>
      </c>
      <c r="N190" t="b">
        <v>1</v>
      </c>
      <c r="O190">
        <v>2096.09</v>
      </c>
      <c r="P190">
        <v>2096.09</v>
      </c>
      <c r="Q190">
        <v>32040</v>
      </c>
      <c r="R190">
        <v>32040</v>
      </c>
    </row>
    <row r="191" spans="1:18" x14ac:dyDescent="0.25">
      <c r="A191" t="s">
        <v>441</v>
      </c>
      <c r="B191" t="s">
        <v>436</v>
      </c>
      <c r="C191" s="1">
        <v>41962</v>
      </c>
      <c r="D191" t="s">
        <v>93</v>
      </c>
      <c r="E191" t="s">
        <v>20</v>
      </c>
      <c r="F191" t="s">
        <v>437</v>
      </c>
      <c r="G191" t="s">
        <v>442</v>
      </c>
      <c r="H191">
        <v>1180</v>
      </c>
      <c r="I191">
        <v>2</v>
      </c>
      <c r="J191">
        <v>210</v>
      </c>
      <c r="K191">
        <v>1813.08</v>
      </c>
      <c r="L191">
        <v>7.0000000000000007E-2</v>
      </c>
      <c r="M191">
        <f t="shared" si="2"/>
        <v>1940</v>
      </c>
      <c r="N191" t="b">
        <v>1</v>
      </c>
      <c r="O191">
        <v>2096.09</v>
      </c>
      <c r="P191">
        <v>2096.09</v>
      </c>
      <c r="Q191">
        <v>32040</v>
      </c>
      <c r="R191">
        <v>32040</v>
      </c>
    </row>
    <row r="192" spans="1:18" x14ac:dyDescent="0.25">
      <c r="A192" t="s">
        <v>443</v>
      </c>
      <c r="B192" t="s">
        <v>436</v>
      </c>
      <c r="C192" s="1">
        <v>41962</v>
      </c>
      <c r="D192" t="s">
        <v>93</v>
      </c>
      <c r="E192" t="s">
        <v>20</v>
      </c>
      <c r="F192" t="s">
        <v>437</v>
      </c>
      <c r="G192" t="s">
        <v>444</v>
      </c>
      <c r="H192">
        <v>1180</v>
      </c>
      <c r="I192">
        <v>2</v>
      </c>
      <c r="J192">
        <v>210</v>
      </c>
      <c r="K192">
        <v>1813.08</v>
      </c>
      <c r="L192">
        <v>7.0000000000000007E-2</v>
      </c>
      <c r="M192">
        <f t="shared" si="2"/>
        <v>1940</v>
      </c>
      <c r="N192" t="b">
        <v>1</v>
      </c>
      <c r="O192">
        <v>2096.09</v>
      </c>
      <c r="P192">
        <v>2096.09</v>
      </c>
      <c r="Q192">
        <v>32040</v>
      </c>
      <c r="R192">
        <v>32040</v>
      </c>
    </row>
    <row r="193" spans="1:18" x14ac:dyDescent="0.25">
      <c r="A193" t="s">
        <v>445</v>
      </c>
      <c r="B193" t="s">
        <v>436</v>
      </c>
      <c r="C193" s="1">
        <v>41962</v>
      </c>
      <c r="D193" t="s">
        <v>93</v>
      </c>
      <c r="E193" t="s">
        <v>20</v>
      </c>
      <c r="F193" t="s">
        <v>437</v>
      </c>
      <c r="G193" t="s">
        <v>446</v>
      </c>
      <c r="H193">
        <v>1180</v>
      </c>
      <c r="I193">
        <v>2</v>
      </c>
      <c r="J193">
        <v>210</v>
      </c>
      <c r="K193">
        <v>1813.08</v>
      </c>
      <c r="L193">
        <v>7.0000000000000007E-2</v>
      </c>
      <c r="M193">
        <f t="shared" si="2"/>
        <v>1940</v>
      </c>
      <c r="N193" t="b">
        <v>1</v>
      </c>
      <c r="O193">
        <v>2096.09</v>
      </c>
      <c r="P193">
        <v>2096.09</v>
      </c>
      <c r="Q193">
        <v>32040</v>
      </c>
      <c r="R193">
        <v>32040</v>
      </c>
    </row>
    <row r="194" spans="1:18" x14ac:dyDescent="0.25">
      <c r="A194" t="s">
        <v>447</v>
      </c>
      <c r="B194" t="s">
        <v>436</v>
      </c>
      <c r="C194" s="1">
        <v>41962</v>
      </c>
      <c r="D194" t="s">
        <v>93</v>
      </c>
      <c r="E194" t="s">
        <v>20</v>
      </c>
      <c r="F194" t="s">
        <v>437</v>
      </c>
      <c r="G194" t="s">
        <v>358</v>
      </c>
      <c r="H194">
        <v>1390</v>
      </c>
      <c r="I194">
        <v>2</v>
      </c>
      <c r="J194">
        <v>240</v>
      </c>
      <c r="K194">
        <v>2149.5300000000002</v>
      </c>
      <c r="L194">
        <v>7.0000000000000007E-2</v>
      </c>
      <c r="M194">
        <f t="shared" si="2"/>
        <v>2300</v>
      </c>
      <c r="N194" t="b">
        <v>1</v>
      </c>
      <c r="O194">
        <v>2096.09</v>
      </c>
      <c r="P194">
        <v>2096.09</v>
      </c>
      <c r="Q194">
        <v>32040</v>
      </c>
      <c r="R194">
        <v>32040</v>
      </c>
    </row>
    <row r="195" spans="1:18" x14ac:dyDescent="0.25">
      <c r="A195" t="s">
        <v>448</v>
      </c>
      <c r="B195" t="s">
        <v>436</v>
      </c>
      <c r="C195" s="1">
        <v>41962</v>
      </c>
      <c r="D195" t="s">
        <v>93</v>
      </c>
      <c r="E195" t="s">
        <v>20</v>
      </c>
      <c r="F195" t="s">
        <v>437</v>
      </c>
      <c r="G195" t="s">
        <v>360</v>
      </c>
      <c r="H195">
        <v>1390</v>
      </c>
      <c r="I195">
        <v>2</v>
      </c>
      <c r="J195">
        <v>240</v>
      </c>
      <c r="K195">
        <v>2149.5300000000002</v>
      </c>
      <c r="L195">
        <v>7.0000000000000007E-2</v>
      </c>
      <c r="M195">
        <f t="shared" si="2"/>
        <v>2300</v>
      </c>
      <c r="N195" t="b">
        <v>1</v>
      </c>
      <c r="O195">
        <v>2096.09</v>
      </c>
      <c r="P195">
        <v>2096.09</v>
      </c>
      <c r="Q195">
        <v>32040</v>
      </c>
      <c r="R195">
        <v>32040</v>
      </c>
    </row>
    <row r="196" spans="1:18" x14ac:dyDescent="0.25">
      <c r="A196" t="s">
        <v>449</v>
      </c>
      <c r="B196" t="s">
        <v>436</v>
      </c>
      <c r="C196" s="1">
        <v>41962</v>
      </c>
      <c r="D196" t="s">
        <v>93</v>
      </c>
      <c r="E196" t="s">
        <v>20</v>
      </c>
      <c r="F196" t="s">
        <v>437</v>
      </c>
      <c r="G196" t="s">
        <v>397</v>
      </c>
      <c r="H196">
        <v>1180</v>
      </c>
      <c r="I196">
        <v>2</v>
      </c>
      <c r="J196">
        <v>230</v>
      </c>
      <c r="K196">
        <v>1775.7</v>
      </c>
      <c r="L196">
        <v>7.0000000000000007E-2</v>
      </c>
      <c r="M196">
        <f t="shared" ref="M196:M259" si="3">ROUND(K196*(1+L196),1)</f>
        <v>1900</v>
      </c>
      <c r="N196" t="b">
        <v>1</v>
      </c>
      <c r="O196">
        <v>2096.09</v>
      </c>
      <c r="P196">
        <v>2096.09</v>
      </c>
      <c r="Q196">
        <v>32040</v>
      </c>
      <c r="R196">
        <v>32040</v>
      </c>
    </row>
    <row r="197" spans="1:18" x14ac:dyDescent="0.25">
      <c r="A197" t="s">
        <v>450</v>
      </c>
      <c r="B197" t="s">
        <v>436</v>
      </c>
      <c r="C197" s="1">
        <v>41962</v>
      </c>
      <c r="D197" t="s">
        <v>93</v>
      </c>
      <c r="E197" t="s">
        <v>20</v>
      </c>
      <c r="F197" t="s">
        <v>437</v>
      </c>
      <c r="G197" t="s">
        <v>399</v>
      </c>
      <c r="H197">
        <v>1180</v>
      </c>
      <c r="I197">
        <v>2</v>
      </c>
      <c r="J197">
        <v>230</v>
      </c>
      <c r="K197">
        <v>1775.7</v>
      </c>
      <c r="L197">
        <v>7.0000000000000007E-2</v>
      </c>
      <c r="M197">
        <f t="shared" si="3"/>
        <v>1900</v>
      </c>
      <c r="N197" t="b">
        <v>1</v>
      </c>
      <c r="O197">
        <v>2096.09</v>
      </c>
      <c r="P197">
        <v>2096.09</v>
      </c>
      <c r="Q197">
        <v>32040</v>
      </c>
      <c r="R197">
        <v>32040</v>
      </c>
    </row>
    <row r="198" spans="1:18" x14ac:dyDescent="0.25">
      <c r="A198" t="s">
        <v>451</v>
      </c>
      <c r="B198" t="s">
        <v>436</v>
      </c>
      <c r="C198" s="1">
        <v>41962</v>
      </c>
      <c r="D198" t="s">
        <v>93</v>
      </c>
      <c r="E198" t="s">
        <v>20</v>
      </c>
      <c r="F198" t="s">
        <v>437</v>
      </c>
      <c r="G198" t="s">
        <v>324</v>
      </c>
      <c r="H198">
        <v>970</v>
      </c>
      <c r="I198">
        <v>2</v>
      </c>
      <c r="J198">
        <v>250</v>
      </c>
      <c r="K198">
        <v>1345.79</v>
      </c>
      <c r="L198">
        <v>7.0000000000000007E-2</v>
      </c>
      <c r="M198">
        <f t="shared" si="3"/>
        <v>1440</v>
      </c>
      <c r="N198" t="b">
        <v>1</v>
      </c>
      <c r="O198">
        <v>2096.09</v>
      </c>
      <c r="P198">
        <v>2096.09</v>
      </c>
      <c r="Q198">
        <v>32040</v>
      </c>
      <c r="R198">
        <v>32040</v>
      </c>
    </row>
    <row r="199" spans="1:18" x14ac:dyDescent="0.25">
      <c r="A199" t="s">
        <v>452</v>
      </c>
      <c r="B199" t="s">
        <v>436</v>
      </c>
      <c r="C199" s="1">
        <v>41962</v>
      </c>
      <c r="D199" t="s">
        <v>93</v>
      </c>
      <c r="E199" t="s">
        <v>20</v>
      </c>
      <c r="F199" t="s">
        <v>437</v>
      </c>
      <c r="G199" t="s">
        <v>322</v>
      </c>
      <c r="H199">
        <v>970</v>
      </c>
      <c r="I199">
        <v>2</v>
      </c>
      <c r="J199">
        <v>250</v>
      </c>
      <c r="K199">
        <v>1345.79</v>
      </c>
      <c r="L199">
        <v>7.0000000000000007E-2</v>
      </c>
      <c r="M199">
        <f t="shared" si="3"/>
        <v>1440</v>
      </c>
      <c r="N199" t="b">
        <v>1</v>
      </c>
      <c r="O199">
        <v>2096.09</v>
      </c>
      <c r="P199">
        <v>2096.09</v>
      </c>
      <c r="Q199">
        <v>32040</v>
      </c>
      <c r="R199">
        <v>32040</v>
      </c>
    </row>
    <row r="200" spans="1:18" x14ac:dyDescent="0.25">
      <c r="A200" t="s">
        <v>453</v>
      </c>
      <c r="B200" t="s">
        <v>436</v>
      </c>
      <c r="C200" s="1">
        <v>41962</v>
      </c>
      <c r="D200" t="s">
        <v>93</v>
      </c>
      <c r="E200" t="s">
        <v>20</v>
      </c>
      <c r="F200" t="s">
        <v>437</v>
      </c>
      <c r="G200" t="s">
        <v>333</v>
      </c>
      <c r="H200">
        <v>970</v>
      </c>
      <c r="I200">
        <v>2</v>
      </c>
      <c r="J200">
        <v>250</v>
      </c>
      <c r="K200">
        <v>1345.79</v>
      </c>
      <c r="L200">
        <v>7.0000000000000007E-2</v>
      </c>
      <c r="M200">
        <f t="shared" si="3"/>
        <v>1440</v>
      </c>
      <c r="N200" t="b">
        <v>1</v>
      </c>
      <c r="O200">
        <v>2096.09</v>
      </c>
      <c r="P200">
        <v>2096.09</v>
      </c>
      <c r="Q200">
        <v>32040</v>
      </c>
      <c r="R200">
        <v>32040</v>
      </c>
    </row>
    <row r="201" spans="1:18" x14ac:dyDescent="0.25">
      <c r="A201" t="s">
        <v>454</v>
      </c>
      <c r="B201" t="s">
        <v>436</v>
      </c>
      <c r="C201" s="1">
        <v>41962</v>
      </c>
      <c r="D201" t="s">
        <v>93</v>
      </c>
      <c r="E201" t="s">
        <v>20</v>
      </c>
      <c r="F201" t="s">
        <v>437</v>
      </c>
      <c r="G201" t="s">
        <v>455</v>
      </c>
      <c r="H201">
        <v>1740</v>
      </c>
      <c r="I201">
        <v>2</v>
      </c>
      <c r="J201">
        <v>540</v>
      </c>
      <c r="K201">
        <v>2242.9899999999998</v>
      </c>
      <c r="L201">
        <v>7.0000000000000007E-2</v>
      </c>
      <c r="M201">
        <f t="shared" si="3"/>
        <v>2400</v>
      </c>
      <c r="N201" t="b">
        <v>1</v>
      </c>
      <c r="O201">
        <v>2096.09</v>
      </c>
      <c r="P201">
        <v>2096.09</v>
      </c>
      <c r="Q201">
        <v>32040</v>
      </c>
      <c r="R201">
        <v>32040</v>
      </c>
    </row>
    <row r="202" spans="1:18" x14ac:dyDescent="0.25">
      <c r="A202" t="s">
        <v>456</v>
      </c>
      <c r="B202" t="s">
        <v>436</v>
      </c>
      <c r="C202" s="1">
        <v>41962</v>
      </c>
      <c r="D202" t="s">
        <v>93</v>
      </c>
      <c r="E202" t="s">
        <v>20</v>
      </c>
      <c r="F202" t="s">
        <v>437</v>
      </c>
      <c r="G202" t="s">
        <v>457</v>
      </c>
      <c r="H202">
        <v>1740</v>
      </c>
      <c r="I202">
        <v>2</v>
      </c>
      <c r="J202">
        <v>540</v>
      </c>
      <c r="K202">
        <v>2242.9899999999998</v>
      </c>
      <c r="L202">
        <v>7.0000000000000007E-2</v>
      </c>
      <c r="M202">
        <f t="shared" si="3"/>
        <v>2400</v>
      </c>
      <c r="N202" t="b">
        <v>1</v>
      </c>
      <c r="O202">
        <v>2096.09</v>
      </c>
      <c r="P202">
        <v>2096.09</v>
      </c>
      <c r="Q202">
        <v>32040</v>
      </c>
      <c r="R202">
        <v>32040</v>
      </c>
    </row>
    <row r="203" spans="1:18" x14ac:dyDescent="0.25">
      <c r="A203" t="s">
        <v>458</v>
      </c>
      <c r="B203" t="s">
        <v>436</v>
      </c>
      <c r="C203" s="1">
        <v>41962</v>
      </c>
      <c r="D203" t="s">
        <v>93</v>
      </c>
      <c r="E203" t="s">
        <v>20</v>
      </c>
      <c r="F203" t="s">
        <v>437</v>
      </c>
      <c r="G203" t="s">
        <v>459</v>
      </c>
      <c r="H203">
        <v>1250</v>
      </c>
      <c r="I203">
        <v>2</v>
      </c>
      <c r="J203">
        <v>200</v>
      </c>
      <c r="K203">
        <v>1962.62</v>
      </c>
      <c r="L203">
        <v>7.0000000000000007E-2</v>
      </c>
      <c r="M203">
        <f t="shared" si="3"/>
        <v>2100</v>
      </c>
      <c r="N203" t="b">
        <v>1</v>
      </c>
      <c r="O203">
        <v>2096.09</v>
      </c>
      <c r="P203">
        <v>2096.09</v>
      </c>
      <c r="Q203">
        <v>32040</v>
      </c>
      <c r="R203">
        <v>32040</v>
      </c>
    </row>
    <row r="204" spans="1:18" x14ac:dyDescent="0.25">
      <c r="A204" t="s">
        <v>460</v>
      </c>
      <c r="B204" t="s">
        <v>461</v>
      </c>
      <c r="C204" s="1">
        <v>41962</v>
      </c>
      <c r="D204" t="s">
        <v>19</v>
      </c>
      <c r="E204" t="s">
        <v>20</v>
      </c>
      <c r="F204" t="s">
        <v>462</v>
      </c>
      <c r="G204" t="s">
        <v>463</v>
      </c>
      <c r="H204">
        <v>3840</v>
      </c>
      <c r="I204">
        <v>2</v>
      </c>
      <c r="J204">
        <v>940</v>
      </c>
      <c r="K204">
        <v>5420.56</v>
      </c>
      <c r="L204">
        <v>7.0000000000000007E-2</v>
      </c>
      <c r="M204">
        <f t="shared" si="3"/>
        <v>5800</v>
      </c>
      <c r="O204">
        <v>2757.38</v>
      </c>
      <c r="P204">
        <v>2757.38</v>
      </c>
      <c r="Q204">
        <v>42148</v>
      </c>
      <c r="R204">
        <v>42148</v>
      </c>
    </row>
    <row r="205" spans="1:18" x14ac:dyDescent="0.25">
      <c r="A205" t="s">
        <v>464</v>
      </c>
      <c r="B205" t="s">
        <v>461</v>
      </c>
      <c r="C205" s="1">
        <v>41962</v>
      </c>
      <c r="D205" t="s">
        <v>19</v>
      </c>
      <c r="E205" t="s">
        <v>20</v>
      </c>
      <c r="F205" t="s">
        <v>462</v>
      </c>
      <c r="G205" t="s">
        <v>444</v>
      </c>
      <c r="H205">
        <v>1180</v>
      </c>
      <c r="I205">
        <v>3</v>
      </c>
      <c r="J205">
        <v>380</v>
      </c>
      <c r="K205">
        <v>2242.9899999999998</v>
      </c>
      <c r="L205">
        <v>7.0000000000000007E-2</v>
      </c>
      <c r="M205">
        <f t="shared" si="3"/>
        <v>2400</v>
      </c>
      <c r="O205">
        <v>2757.38</v>
      </c>
      <c r="P205">
        <v>2757.38</v>
      </c>
      <c r="Q205">
        <v>42148</v>
      </c>
      <c r="R205">
        <v>42148</v>
      </c>
    </row>
    <row r="206" spans="1:18" x14ac:dyDescent="0.25">
      <c r="A206" t="s">
        <v>465</v>
      </c>
      <c r="B206" t="s">
        <v>461</v>
      </c>
      <c r="C206" s="1">
        <v>41962</v>
      </c>
      <c r="D206" t="s">
        <v>19</v>
      </c>
      <c r="E206" t="s">
        <v>20</v>
      </c>
      <c r="F206" t="s">
        <v>462</v>
      </c>
      <c r="G206" t="s">
        <v>446</v>
      </c>
      <c r="H206">
        <v>1180</v>
      </c>
      <c r="I206">
        <v>3</v>
      </c>
      <c r="J206">
        <v>380</v>
      </c>
      <c r="K206">
        <v>2242.9899999999998</v>
      </c>
      <c r="L206">
        <v>7.0000000000000007E-2</v>
      </c>
      <c r="M206">
        <f t="shared" si="3"/>
        <v>2400</v>
      </c>
      <c r="O206">
        <v>2757.38</v>
      </c>
      <c r="P206">
        <v>2757.38</v>
      </c>
      <c r="Q206">
        <v>42148</v>
      </c>
      <c r="R206">
        <v>42148</v>
      </c>
    </row>
    <row r="207" spans="1:18" x14ac:dyDescent="0.25">
      <c r="A207" t="s">
        <v>466</v>
      </c>
      <c r="B207" t="s">
        <v>461</v>
      </c>
      <c r="C207" s="1">
        <v>41962</v>
      </c>
      <c r="D207" t="s">
        <v>19</v>
      </c>
      <c r="E207" t="s">
        <v>20</v>
      </c>
      <c r="F207" t="s">
        <v>462</v>
      </c>
      <c r="G207" t="s">
        <v>338</v>
      </c>
      <c r="H207">
        <v>900</v>
      </c>
      <c r="I207">
        <v>6</v>
      </c>
      <c r="J207">
        <v>300</v>
      </c>
      <c r="K207">
        <v>3364.49</v>
      </c>
      <c r="L207">
        <v>7.0000000000000007E-2</v>
      </c>
      <c r="M207">
        <f t="shared" si="3"/>
        <v>3600</v>
      </c>
      <c r="O207">
        <v>2757.38</v>
      </c>
      <c r="P207">
        <v>2757.38</v>
      </c>
      <c r="Q207">
        <v>42148</v>
      </c>
      <c r="R207">
        <v>42148</v>
      </c>
    </row>
    <row r="208" spans="1:18" x14ac:dyDescent="0.25">
      <c r="A208" t="s">
        <v>467</v>
      </c>
      <c r="B208" t="s">
        <v>461</v>
      </c>
      <c r="C208" s="1">
        <v>41962</v>
      </c>
      <c r="D208" t="s">
        <v>19</v>
      </c>
      <c r="E208" t="s">
        <v>20</v>
      </c>
      <c r="F208" t="s">
        <v>462</v>
      </c>
      <c r="G208" t="s">
        <v>352</v>
      </c>
      <c r="H208">
        <v>1390</v>
      </c>
      <c r="I208">
        <v>3</v>
      </c>
      <c r="J208">
        <v>490</v>
      </c>
      <c r="K208">
        <v>2523.36</v>
      </c>
      <c r="L208">
        <v>7.0000000000000007E-2</v>
      </c>
      <c r="M208">
        <f t="shared" si="3"/>
        <v>2700</v>
      </c>
      <c r="O208">
        <v>2757.38</v>
      </c>
      <c r="P208">
        <v>2757.38</v>
      </c>
      <c r="Q208">
        <v>42148</v>
      </c>
      <c r="R208">
        <v>42148</v>
      </c>
    </row>
    <row r="209" spans="1:18" x14ac:dyDescent="0.25">
      <c r="A209" t="s">
        <v>468</v>
      </c>
      <c r="B209" t="s">
        <v>461</v>
      </c>
      <c r="C209" s="1">
        <v>41962</v>
      </c>
      <c r="D209" t="s">
        <v>19</v>
      </c>
      <c r="E209" t="s">
        <v>20</v>
      </c>
      <c r="F209" t="s">
        <v>462</v>
      </c>
      <c r="G209" t="s">
        <v>380</v>
      </c>
      <c r="H209">
        <v>1390</v>
      </c>
      <c r="I209">
        <v>3</v>
      </c>
      <c r="J209">
        <v>490</v>
      </c>
      <c r="K209">
        <v>2523.36</v>
      </c>
      <c r="L209">
        <v>7.0000000000000007E-2</v>
      </c>
      <c r="M209">
        <f t="shared" si="3"/>
        <v>2700</v>
      </c>
      <c r="O209">
        <v>2757.38</v>
      </c>
      <c r="P209">
        <v>2757.38</v>
      </c>
      <c r="Q209">
        <v>42148</v>
      </c>
      <c r="R209">
        <v>42148</v>
      </c>
    </row>
    <row r="210" spans="1:18" x14ac:dyDescent="0.25">
      <c r="A210" t="s">
        <v>469</v>
      </c>
      <c r="B210" t="s">
        <v>461</v>
      </c>
      <c r="C210" s="1">
        <v>41962</v>
      </c>
      <c r="D210" t="s">
        <v>19</v>
      </c>
      <c r="E210" t="s">
        <v>20</v>
      </c>
      <c r="F210" t="s">
        <v>462</v>
      </c>
      <c r="G210" t="s">
        <v>470</v>
      </c>
      <c r="H210">
        <v>220</v>
      </c>
      <c r="I210">
        <v>12</v>
      </c>
      <c r="J210">
        <v>60</v>
      </c>
      <c r="K210">
        <v>1794.39</v>
      </c>
      <c r="L210">
        <v>7.0000000000000007E-2</v>
      </c>
      <c r="M210">
        <f t="shared" si="3"/>
        <v>1920</v>
      </c>
      <c r="O210">
        <v>2757.38</v>
      </c>
      <c r="P210">
        <v>2757.38</v>
      </c>
      <c r="Q210">
        <v>42148</v>
      </c>
      <c r="R210">
        <v>42148</v>
      </c>
    </row>
    <row r="211" spans="1:18" x14ac:dyDescent="0.25">
      <c r="A211" t="s">
        <v>471</v>
      </c>
      <c r="B211" t="s">
        <v>461</v>
      </c>
      <c r="C211" s="1">
        <v>41962</v>
      </c>
      <c r="D211" t="s">
        <v>19</v>
      </c>
      <c r="E211" t="s">
        <v>20</v>
      </c>
      <c r="F211" t="s">
        <v>462</v>
      </c>
      <c r="G211" t="s">
        <v>472</v>
      </c>
      <c r="H211">
        <v>80</v>
      </c>
      <c r="I211">
        <v>6</v>
      </c>
      <c r="J211">
        <v>26</v>
      </c>
      <c r="K211">
        <v>302.8</v>
      </c>
      <c r="L211">
        <v>7.0000000000000007E-2</v>
      </c>
      <c r="M211">
        <f t="shared" si="3"/>
        <v>324</v>
      </c>
      <c r="O211">
        <v>2757.38</v>
      </c>
      <c r="P211">
        <v>2757.38</v>
      </c>
      <c r="Q211">
        <v>42148</v>
      </c>
      <c r="R211">
        <v>42148</v>
      </c>
    </row>
    <row r="212" spans="1:18" x14ac:dyDescent="0.25">
      <c r="A212" t="s">
        <v>473</v>
      </c>
      <c r="B212" t="s">
        <v>461</v>
      </c>
      <c r="C212" s="1">
        <v>41962</v>
      </c>
      <c r="D212" t="s">
        <v>19</v>
      </c>
      <c r="E212" t="s">
        <v>20</v>
      </c>
      <c r="F212" t="s">
        <v>462</v>
      </c>
      <c r="G212" t="s">
        <v>474</v>
      </c>
      <c r="H212">
        <v>80</v>
      </c>
      <c r="I212">
        <v>6</v>
      </c>
      <c r="J212">
        <v>26</v>
      </c>
      <c r="K212">
        <v>302.8</v>
      </c>
      <c r="L212">
        <v>7.0000000000000007E-2</v>
      </c>
      <c r="M212">
        <f t="shared" si="3"/>
        <v>324</v>
      </c>
      <c r="O212">
        <v>2757.38</v>
      </c>
      <c r="P212">
        <v>2757.38</v>
      </c>
      <c r="Q212">
        <v>42148</v>
      </c>
      <c r="R212">
        <v>42148</v>
      </c>
    </row>
    <row r="213" spans="1:18" x14ac:dyDescent="0.25">
      <c r="A213" t="s">
        <v>475</v>
      </c>
      <c r="B213" t="s">
        <v>461</v>
      </c>
      <c r="C213" s="1">
        <v>41962</v>
      </c>
      <c r="D213" t="s">
        <v>19</v>
      </c>
      <c r="E213" t="s">
        <v>20</v>
      </c>
      <c r="F213" t="s">
        <v>462</v>
      </c>
      <c r="G213" t="s">
        <v>362</v>
      </c>
      <c r="H213">
        <v>1600</v>
      </c>
      <c r="I213">
        <v>4</v>
      </c>
      <c r="J213">
        <v>200</v>
      </c>
      <c r="K213">
        <v>5233.6400000000003</v>
      </c>
      <c r="L213">
        <v>7.0000000000000007E-2</v>
      </c>
      <c r="M213">
        <f t="shared" si="3"/>
        <v>5600</v>
      </c>
      <c r="O213">
        <v>2757.38</v>
      </c>
      <c r="P213">
        <v>2757.38</v>
      </c>
      <c r="Q213">
        <v>42148</v>
      </c>
      <c r="R213">
        <v>42148</v>
      </c>
    </row>
    <row r="214" spans="1:18" x14ac:dyDescent="0.25">
      <c r="A214" t="s">
        <v>476</v>
      </c>
      <c r="B214" t="s">
        <v>461</v>
      </c>
      <c r="C214" s="1">
        <v>41962</v>
      </c>
      <c r="D214" t="s">
        <v>19</v>
      </c>
      <c r="E214" t="s">
        <v>20</v>
      </c>
      <c r="F214" t="s">
        <v>462</v>
      </c>
      <c r="G214" t="s">
        <v>387</v>
      </c>
      <c r="H214">
        <v>1600</v>
      </c>
      <c r="I214">
        <v>2</v>
      </c>
      <c r="J214">
        <v>200</v>
      </c>
      <c r="K214">
        <v>2616.8200000000002</v>
      </c>
      <c r="L214">
        <v>7.0000000000000007E-2</v>
      </c>
      <c r="M214">
        <f t="shared" si="3"/>
        <v>2800</v>
      </c>
      <c r="O214">
        <v>2757.38</v>
      </c>
      <c r="P214">
        <v>2757.38</v>
      </c>
      <c r="Q214">
        <v>42148</v>
      </c>
      <c r="R214">
        <v>42148</v>
      </c>
    </row>
    <row r="215" spans="1:18" x14ac:dyDescent="0.25">
      <c r="A215" t="s">
        <v>477</v>
      </c>
      <c r="B215" t="s">
        <v>461</v>
      </c>
      <c r="C215" s="1">
        <v>41962</v>
      </c>
      <c r="D215" t="s">
        <v>19</v>
      </c>
      <c r="E215" t="s">
        <v>20</v>
      </c>
      <c r="F215" t="s">
        <v>462</v>
      </c>
      <c r="G215" t="s">
        <v>418</v>
      </c>
      <c r="H215">
        <v>1810</v>
      </c>
      <c r="I215">
        <v>2</v>
      </c>
      <c r="J215">
        <v>220</v>
      </c>
      <c r="K215">
        <v>2971.96</v>
      </c>
      <c r="L215">
        <v>7.0000000000000007E-2</v>
      </c>
      <c r="M215">
        <f t="shared" si="3"/>
        <v>3180</v>
      </c>
      <c r="O215">
        <v>2757.38</v>
      </c>
      <c r="P215">
        <v>2757.38</v>
      </c>
      <c r="Q215">
        <v>42148</v>
      </c>
      <c r="R215">
        <v>42148</v>
      </c>
    </row>
    <row r="216" spans="1:18" x14ac:dyDescent="0.25">
      <c r="A216" t="s">
        <v>478</v>
      </c>
      <c r="B216" t="s">
        <v>461</v>
      </c>
      <c r="C216" s="1">
        <v>41962</v>
      </c>
      <c r="D216" t="s">
        <v>19</v>
      </c>
      <c r="E216" t="s">
        <v>20</v>
      </c>
      <c r="F216" t="s">
        <v>462</v>
      </c>
      <c r="G216" t="s">
        <v>479</v>
      </c>
      <c r="H216">
        <v>1250</v>
      </c>
      <c r="I216">
        <v>4</v>
      </c>
      <c r="J216">
        <v>200</v>
      </c>
      <c r="K216">
        <v>3925.23</v>
      </c>
      <c r="L216">
        <v>7.0000000000000007E-2</v>
      </c>
      <c r="M216">
        <f t="shared" si="3"/>
        <v>4200</v>
      </c>
      <c r="O216">
        <v>2757.38</v>
      </c>
      <c r="P216">
        <v>2757.38</v>
      </c>
      <c r="Q216">
        <v>42148</v>
      </c>
      <c r="R216">
        <v>42148</v>
      </c>
    </row>
    <row r="217" spans="1:18" x14ac:dyDescent="0.25">
      <c r="A217" t="s">
        <v>480</v>
      </c>
      <c r="B217" t="s">
        <v>461</v>
      </c>
      <c r="C217" s="1">
        <v>41962</v>
      </c>
      <c r="D217" t="s">
        <v>19</v>
      </c>
      <c r="E217" t="s">
        <v>20</v>
      </c>
      <c r="F217" t="s">
        <v>462</v>
      </c>
      <c r="G217" t="s">
        <v>459</v>
      </c>
      <c r="H217">
        <v>1250</v>
      </c>
      <c r="I217">
        <v>4</v>
      </c>
      <c r="J217">
        <v>200</v>
      </c>
      <c r="K217">
        <v>3925.23</v>
      </c>
      <c r="L217">
        <v>7.0000000000000007E-2</v>
      </c>
      <c r="M217">
        <f t="shared" si="3"/>
        <v>4200</v>
      </c>
      <c r="O217">
        <v>2757.38</v>
      </c>
      <c r="P217">
        <v>2757.38</v>
      </c>
      <c r="Q217">
        <v>42148</v>
      </c>
      <c r="R217">
        <v>42148</v>
      </c>
    </row>
    <row r="218" spans="1:18" x14ac:dyDescent="0.25">
      <c r="A218" t="s">
        <v>481</v>
      </c>
      <c r="B218" t="s">
        <v>482</v>
      </c>
      <c r="C218" s="1">
        <v>41962</v>
      </c>
      <c r="D218" t="s">
        <v>93</v>
      </c>
      <c r="E218" t="s">
        <v>20</v>
      </c>
      <c r="F218" t="s">
        <v>483</v>
      </c>
      <c r="G218" t="s">
        <v>484</v>
      </c>
      <c r="H218">
        <v>460</v>
      </c>
      <c r="I218">
        <v>2</v>
      </c>
      <c r="J218">
        <v>140</v>
      </c>
      <c r="K218">
        <v>598.13</v>
      </c>
      <c r="L218">
        <v>7.0000000000000007E-2</v>
      </c>
      <c r="M218">
        <f t="shared" si="3"/>
        <v>640</v>
      </c>
      <c r="N218" t="b">
        <v>1</v>
      </c>
      <c r="O218">
        <v>1374.49</v>
      </c>
      <c r="P218">
        <v>1374.49</v>
      </c>
      <c r="Q218">
        <v>21010</v>
      </c>
      <c r="R218">
        <v>21010</v>
      </c>
    </row>
    <row r="219" spans="1:18" x14ac:dyDescent="0.25">
      <c r="A219" t="s">
        <v>485</v>
      </c>
      <c r="B219" t="s">
        <v>482</v>
      </c>
      <c r="C219" s="1">
        <v>41962</v>
      </c>
      <c r="D219" t="s">
        <v>93</v>
      </c>
      <c r="E219" t="s">
        <v>20</v>
      </c>
      <c r="F219" t="s">
        <v>483</v>
      </c>
      <c r="G219" t="s">
        <v>486</v>
      </c>
      <c r="H219">
        <v>460</v>
      </c>
      <c r="I219">
        <v>2</v>
      </c>
      <c r="J219">
        <v>140</v>
      </c>
      <c r="K219">
        <v>598.13</v>
      </c>
      <c r="L219">
        <v>7.0000000000000007E-2</v>
      </c>
      <c r="M219">
        <f t="shared" si="3"/>
        <v>640</v>
      </c>
      <c r="N219" t="b">
        <v>1</v>
      </c>
      <c r="O219">
        <v>1374.49</v>
      </c>
      <c r="P219">
        <v>1374.49</v>
      </c>
      <c r="Q219">
        <v>21010</v>
      </c>
      <c r="R219">
        <v>21010</v>
      </c>
    </row>
    <row r="220" spans="1:18" x14ac:dyDescent="0.25">
      <c r="A220" t="s">
        <v>487</v>
      </c>
      <c r="B220" t="s">
        <v>482</v>
      </c>
      <c r="C220" s="1">
        <v>41962</v>
      </c>
      <c r="D220" t="s">
        <v>93</v>
      </c>
      <c r="E220" t="s">
        <v>20</v>
      </c>
      <c r="F220" t="s">
        <v>483</v>
      </c>
      <c r="G220" t="s">
        <v>488</v>
      </c>
      <c r="H220">
        <v>460</v>
      </c>
      <c r="I220">
        <v>2</v>
      </c>
      <c r="J220">
        <v>140</v>
      </c>
      <c r="K220">
        <v>598.13</v>
      </c>
      <c r="L220">
        <v>7.0000000000000007E-2</v>
      </c>
      <c r="M220">
        <f t="shared" si="3"/>
        <v>640</v>
      </c>
      <c r="N220" t="b">
        <v>1</v>
      </c>
      <c r="O220">
        <v>1374.49</v>
      </c>
      <c r="P220">
        <v>1374.49</v>
      </c>
      <c r="Q220">
        <v>21010</v>
      </c>
      <c r="R220">
        <v>21010</v>
      </c>
    </row>
    <row r="221" spans="1:18" x14ac:dyDescent="0.25">
      <c r="A221" t="s">
        <v>489</v>
      </c>
      <c r="B221" t="s">
        <v>482</v>
      </c>
      <c r="C221" s="1">
        <v>41962</v>
      </c>
      <c r="D221" t="s">
        <v>93</v>
      </c>
      <c r="E221" t="s">
        <v>20</v>
      </c>
      <c r="F221" t="s">
        <v>483</v>
      </c>
      <c r="G221" t="s">
        <v>387</v>
      </c>
      <c r="H221">
        <v>1600</v>
      </c>
      <c r="I221">
        <v>3</v>
      </c>
      <c r="J221">
        <v>250</v>
      </c>
      <c r="K221">
        <v>3785.05</v>
      </c>
      <c r="L221">
        <v>7.0000000000000007E-2</v>
      </c>
      <c r="M221">
        <f t="shared" si="3"/>
        <v>4050</v>
      </c>
      <c r="N221" t="b">
        <v>1</v>
      </c>
      <c r="O221">
        <v>1374.49</v>
      </c>
      <c r="P221">
        <v>1374.49</v>
      </c>
      <c r="Q221">
        <v>21010</v>
      </c>
      <c r="R221">
        <v>21010</v>
      </c>
    </row>
    <row r="222" spans="1:18" x14ac:dyDescent="0.25">
      <c r="A222" t="s">
        <v>490</v>
      </c>
      <c r="B222" t="s">
        <v>482</v>
      </c>
      <c r="C222" s="1">
        <v>41962</v>
      </c>
      <c r="D222" t="s">
        <v>93</v>
      </c>
      <c r="E222" t="s">
        <v>20</v>
      </c>
      <c r="F222" t="s">
        <v>483</v>
      </c>
      <c r="G222" t="s">
        <v>362</v>
      </c>
      <c r="H222">
        <v>1600</v>
      </c>
      <c r="I222">
        <v>1</v>
      </c>
      <c r="J222">
        <v>250</v>
      </c>
      <c r="K222">
        <v>1261.68</v>
      </c>
      <c r="L222">
        <v>7.0000000000000007E-2</v>
      </c>
      <c r="M222">
        <f t="shared" si="3"/>
        <v>1350</v>
      </c>
      <c r="N222" t="b">
        <v>1</v>
      </c>
      <c r="O222">
        <v>1374.49</v>
      </c>
      <c r="P222">
        <v>1374.49</v>
      </c>
      <c r="Q222">
        <v>21010</v>
      </c>
      <c r="R222">
        <v>21010</v>
      </c>
    </row>
    <row r="223" spans="1:18" x14ac:dyDescent="0.25">
      <c r="A223" t="s">
        <v>491</v>
      </c>
      <c r="B223" t="s">
        <v>482</v>
      </c>
      <c r="C223" s="1">
        <v>41962</v>
      </c>
      <c r="D223" t="s">
        <v>93</v>
      </c>
      <c r="E223" t="s">
        <v>20</v>
      </c>
      <c r="F223" t="s">
        <v>483</v>
      </c>
      <c r="G223" t="s">
        <v>492</v>
      </c>
      <c r="H223">
        <v>690</v>
      </c>
      <c r="I223">
        <v>3</v>
      </c>
      <c r="J223">
        <v>80</v>
      </c>
      <c r="K223">
        <v>1710.28</v>
      </c>
      <c r="L223">
        <v>7.0000000000000007E-2</v>
      </c>
      <c r="M223">
        <f t="shared" si="3"/>
        <v>1830</v>
      </c>
      <c r="N223" t="b">
        <v>1</v>
      </c>
      <c r="O223">
        <v>1374.49</v>
      </c>
      <c r="P223">
        <v>1374.49</v>
      </c>
      <c r="Q223">
        <v>21010</v>
      </c>
      <c r="R223">
        <v>21010</v>
      </c>
    </row>
    <row r="224" spans="1:18" x14ac:dyDescent="0.25">
      <c r="A224" t="s">
        <v>493</v>
      </c>
      <c r="B224" t="s">
        <v>482</v>
      </c>
      <c r="C224" s="1">
        <v>41962</v>
      </c>
      <c r="D224" t="s">
        <v>93</v>
      </c>
      <c r="E224" t="s">
        <v>20</v>
      </c>
      <c r="F224" t="s">
        <v>483</v>
      </c>
      <c r="G224" t="s">
        <v>494</v>
      </c>
      <c r="H224">
        <v>690</v>
      </c>
      <c r="I224">
        <v>3</v>
      </c>
      <c r="J224">
        <v>80</v>
      </c>
      <c r="K224">
        <v>1710.28</v>
      </c>
      <c r="L224">
        <v>7.0000000000000007E-2</v>
      </c>
      <c r="M224">
        <f t="shared" si="3"/>
        <v>1830</v>
      </c>
      <c r="N224" t="b">
        <v>1</v>
      </c>
      <c r="O224">
        <v>1374.49</v>
      </c>
      <c r="P224">
        <v>1374.49</v>
      </c>
      <c r="Q224">
        <v>21010</v>
      </c>
      <c r="R224">
        <v>21010</v>
      </c>
    </row>
    <row r="225" spans="1:18" x14ac:dyDescent="0.25">
      <c r="A225" t="s">
        <v>495</v>
      </c>
      <c r="B225" t="s">
        <v>482</v>
      </c>
      <c r="C225" s="1">
        <v>41962</v>
      </c>
      <c r="D225" t="s">
        <v>93</v>
      </c>
      <c r="E225" t="s">
        <v>20</v>
      </c>
      <c r="F225" t="s">
        <v>483</v>
      </c>
      <c r="G225" t="s">
        <v>470</v>
      </c>
      <c r="H225">
        <v>220</v>
      </c>
      <c r="I225">
        <v>6</v>
      </c>
      <c r="J225">
        <v>60</v>
      </c>
      <c r="K225">
        <v>897.2</v>
      </c>
      <c r="L225">
        <v>7.0000000000000007E-2</v>
      </c>
      <c r="M225">
        <f t="shared" si="3"/>
        <v>960</v>
      </c>
      <c r="N225" t="b">
        <v>1</v>
      </c>
      <c r="O225">
        <v>1374.49</v>
      </c>
      <c r="P225">
        <v>1374.49</v>
      </c>
      <c r="Q225">
        <v>21010</v>
      </c>
      <c r="R225">
        <v>21010</v>
      </c>
    </row>
    <row r="226" spans="1:18" x14ac:dyDescent="0.25">
      <c r="A226" t="s">
        <v>496</v>
      </c>
      <c r="B226" t="s">
        <v>482</v>
      </c>
      <c r="C226" s="1">
        <v>41962</v>
      </c>
      <c r="D226" t="s">
        <v>93</v>
      </c>
      <c r="E226" t="s">
        <v>20</v>
      </c>
      <c r="F226" t="s">
        <v>483</v>
      </c>
      <c r="G226" t="s">
        <v>442</v>
      </c>
      <c r="H226">
        <v>1180</v>
      </c>
      <c r="I226">
        <v>1</v>
      </c>
      <c r="J226">
        <v>210</v>
      </c>
      <c r="K226">
        <v>906.54</v>
      </c>
      <c r="L226">
        <v>7.0000000000000007E-2</v>
      </c>
      <c r="M226">
        <f t="shared" si="3"/>
        <v>970</v>
      </c>
      <c r="N226" t="b">
        <v>1</v>
      </c>
      <c r="O226">
        <v>1374.49</v>
      </c>
      <c r="P226">
        <v>1374.49</v>
      </c>
      <c r="Q226">
        <v>21010</v>
      </c>
      <c r="R226">
        <v>21010</v>
      </c>
    </row>
    <row r="227" spans="1:18" x14ac:dyDescent="0.25">
      <c r="A227" t="s">
        <v>497</v>
      </c>
      <c r="B227" t="s">
        <v>482</v>
      </c>
      <c r="C227" s="1">
        <v>41962</v>
      </c>
      <c r="D227" t="s">
        <v>93</v>
      </c>
      <c r="E227" t="s">
        <v>20</v>
      </c>
      <c r="F227" t="s">
        <v>483</v>
      </c>
      <c r="G227" t="s">
        <v>446</v>
      </c>
      <c r="H227">
        <v>1180</v>
      </c>
      <c r="I227">
        <v>1</v>
      </c>
      <c r="J227">
        <v>210</v>
      </c>
      <c r="K227">
        <v>906.54</v>
      </c>
      <c r="L227">
        <v>7.0000000000000007E-2</v>
      </c>
      <c r="M227">
        <f t="shared" si="3"/>
        <v>970</v>
      </c>
      <c r="N227" t="b">
        <v>1</v>
      </c>
      <c r="O227">
        <v>1374.49</v>
      </c>
      <c r="P227">
        <v>1374.49</v>
      </c>
      <c r="Q227">
        <v>21010</v>
      </c>
      <c r="R227">
        <v>21010</v>
      </c>
    </row>
    <row r="228" spans="1:18" x14ac:dyDescent="0.25">
      <c r="A228" t="s">
        <v>498</v>
      </c>
      <c r="B228" t="s">
        <v>482</v>
      </c>
      <c r="C228" s="1">
        <v>41962</v>
      </c>
      <c r="D228" t="s">
        <v>93</v>
      </c>
      <c r="E228" t="s">
        <v>20</v>
      </c>
      <c r="F228" t="s">
        <v>483</v>
      </c>
      <c r="G228" t="s">
        <v>499</v>
      </c>
      <c r="H228">
        <v>340</v>
      </c>
      <c r="I228">
        <v>3</v>
      </c>
      <c r="J228">
        <v>100</v>
      </c>
      <c r="K228">
        <v>672.9</v>
      </c>
      <c r="L228">
        <v>7.0000000000000007E-2</v>
      </c>
      <c r="M228">
        <f t="shared" si="3"/>
        <v>720</v>
      </c>
      <c r="N228" t="b">
        <v>1</v>
      </c>
      <c r="O228">
        <v>1374.49</v>
      </c>
      <c r="P228">
        <v>1374.49</v>
      </c>
      <c r="Q228">
        <v>21010</v>
      </c>
      <c r="R228">
        <v>21010</v>
      </c>
    </row>
    <row r="229" spans="1:18" x14ac:dyDescent="0.25">
      <c r="A229" t="s">
        <v>500</v>
      </c>
      <c r="B229" t="s">
        <v>482</v>
      </c>
      <c r="C229" s="1">
        <v>41962</v>
      </c>
      <c r="D229" t="s">
        <v>93</v>
      </c>
      <c r="E229" t="s">
        <v>20</v>
      </c>
      <c r="F229" t="s">
        <v>483</v>
      </c>
      <c r="G229" t="s">
        <v>501</v>
      </c>
      <c r="H229">
        <v>340</v>
      </c>
      <c r="I229">
        <v>3</v>
      </c>
      <c r="J229">
        <v>100</v>
      </c>
      <c r="K229">
        <v>672.9</v>
      </c>
      <c r="L229">
        <v>7.0000000000000007E-2</v>
      </c>
      <c r="M229">
        <f t="shared" si="3"/>
        <v>720</v>
      </c>
      <c r="N229" t="b">
        <v>1</v>
      </c>
      <c r="O229">
        <v>1374.49</v>
      </c>
      <c r="P229">
        <v>1374.49</v>
      </c>
      <c r="Q229">
        <v>21010</v>
      </c>
      <c r="R229">
        <v>21010</v>
      </c>
    </row>
    <row r="230" spans="1:18" x14ac:dyDescent="0.25">
      <c r="A230" t="s">
        <v>502</v>
      </c>
      <c r="B230" t="s">
        <v>482</v>
      </c>
      <c r="C230" s="1">
        <v>41962</v>
      </c>
      <c r="D230" t="s">
        <v>93</v>
      </c>
      <c r="E230" t="s">
        <v>20</v>
      </c>
      <c r="F230" t="s">
        <v>483</v>
      </c>
      <c r="G230" t="s">
        <v>352</v>
      </c>
      <c r="H230">
        <v>1390</v>
      </c>
      <c r="I230">
        <v>2</v>
      </c>
      <c r="J230">
        <v>490</v>
      </c>
      <c r="K230">
        <v>1682.24</v>
      </c>
      <c r="L230">
        <v>7.0000000000000007E-2</v>
      </c>
      <c r="M230">
        <f t="shared" si="3"/>
        <v>1800</v>
      </c>
      <c r="N230" t="b">
        <v>1</v>
      </c>
      <c r="O230">
        <v>1374.49</v>
      </c>
      <c r="P230">
        <v>1374.49</v>
      </c>
      <c r="Q230">
        <v>21010</v>
      </c>
      <c r="R230">
        <v>21010</v>
      </c>
    </row>
    <row r="231" spans="1:18" x14ac:dyDescent="0.25">
      <c r="A231" t="s">
        <v>503</v>
      </c>
      <c r="B231" t="s">
        <v>482</v>
      </c>
      <c r="C231" s="1">
        <v>41962</v>
      </c>
      <c r="D231" t="s">
        <v>93</v>
      </c>
      <c r="E231" t="s">
        <v>20</v>
      </c>
      <c r="F231" t="s">
        <v>483</v>
      </c>
      <c r="G231" t="s">
        <v>380</v>
      </c>
      <c r="H231">
        <v>1390</v>
      </c>
      <c r="I231">
        <v>2</v>
      </c>
      <c r="J231">
        <v>490</v>
      </c>
      <c r="K231">
        <v>1682.24</v>
      </c>
      <c r="L231">
        <v>7.0000000000000007E-2</v>
      </c>
      <c r="M231">
        <f t="shared" si="3"/>
        <v>1800</v>
      </c>
      <c r="N231" t="b">
        <v>1</v>
      </c>
      <c r="O231">
        <v>1374.49</v>
      </c>
      <c r="P231">
        <v>1374.49</v>
      </c>
      <c r="Q231">
        <v>21010</v>
      </c>
      <c r="R231">
        <v>21010</v>
      </c>
    </row>
    <row r="232" spans="1:18" x14ac:dyDescent="0.25">
      <c r="A232" t="s">
        <v>504</v>
      </c>
      <c r="B232" t="s">
        <v>482</v>
      </c>
      <c r="C232" s="1">
        <v>41962</v>
      </c>
      <c r="D232" t="s">
        <v>93</v>
      </c>
      <c r="E232" t="s">
        <v>20</v>
      </c>
      <c r="F232" t="s">
        <v>483</v>
      </c>
      <c r="G232" t="s">
        <v>505</v>
      </c>
      <c r="H232">
        <v>460</v>
      </c>
      <c r="I232">
        <v>4</v>
      </c>
      <c r="J232">
        <v>100</v>
      </c>
      <c r="K232">
        <v>1345.79</v>
      </c>
      <c r="L232">
        <v>7.0000000000000007E-2</v>
      </c>
      <c r="M232">
        <f t="shared" si="3"/>
        <v>1440</v>
      </c>
      <c r="N232" t="b">
        <v>1</v>
      </c>
      <c r="O232">
        <v>1374.49</v>
      </c>
      <c r="P232">
        <v>1374.49</v>
      </c>
      <c r="Q232">
        <v>21010</v>
      </c>
      <c r="R232">
        <v>21010</v>
      </c>
    </row>
    <row r="233" spans="1:18" x14ac:dyDescent="0.25">
      <c r="A233" t="s">
        <v>506</v>
      </c>
      <c r="B233" t="s">
        <v>482</v>
      </c>
      <c r="C233" s="1">
        <v>41962</v>
      </c>
      <c r="D233" t="s">
        <v>93</v>
      </c>
      <c r="E233" t="s">
        <v>20</v>
      </c>
      <c r="F233" t="s">
        <v>483</v>
      </c>
      <c r="G233" t="s">
        <v>474</v>
      </c>
      <c r="H233">
        <v>80</v>
      </c>
      <c r="I233">
        <v>6</v>
      </c>
      <c r="J233">
        <v>15</v>
      </c>
      <c r="K233">
        <v>364.49</v>
      </c>
      <c r="L233">
        <v>7.0000000000000007E-2</v>
      </c>
      <c r="M233">
        <f t="shared" si="3"/>
        <v>390</v>
      </c>
      <c r="N233" t="b">
        <v>1</v>
      </c>
      <c r="O233">
        <v>1374.49</v>
      </c>
      <c r="P233">
        <v>1374.49</v>
      </c>
      <c r="Q233">
        <v>21010</v>
      </c>
      <c r="R233">
        <v>21010</v>
      </c>
    </row>
    <row r="234" spans="1:18" x14ac:dyDescent="0.25">
      <c r="A234" t="s">
        <v>507</v>
      </c>
      <c r="B234" t="s">
        <v>482</v>
      </c>
      <c r="C234" s="1">
        <v>41962</v>
      </c>
      <c r="D234" t="s">
        <v>93</v>
      </c>
      <c r="E234" t="s">
        <v>20</v>
      </c>
      <c r="F234" t="s">
        <v>483</v>
      </c>
      <c r="G234" t="s">
        <v>472</v>
      </c>
      <c r="H234">
        <v>80</v>
      </c>
      <c r="I234">
        <v>4</v>
      </c>
      <c r="J234">
        <v>15</v>
      </c>
      <c r="K234">
        <v>242.99</v>
      </c>
      <c r="L234">
        <v>7.0000000000000007E-2</v>
      </c>
      <c r="M234">
        <f t="shared" si="3"/>
        <v>260</v>
      </c>
      <c r="N234" t="b">
        <v>1</v>
      </c>
      <c r="O234">
        <v>1374.49</v>
      </c>
      <c r="P234">
        <v>1374.49</v>
      </c>
      <c r="Q234">
        <v>21010</v>
      </c>
      <c r="R234">
        <v>21010</v>
      </c>
    </row>
    <row r="235" spans="1:18" x14ac:dyDescent="0.25">
      <c r="A235" t="s">
        <v>508</v>
      </c>
      <c r="B235" t="s">
        <v>482</v>
      </c>
      <c r="C235" s="1">
        <v>41962</v>
      </c>
      <c r="D235" t="s">
        <v>93</v>
      </c>
      <c r="E235" t="s">
        <v>20</v>
      </c>
      <c r="F235" t="s">
        <v>483</v>
      </c>
      <c r="G235" t="s">
        <v>472</v>
      </c>
      <c r="H235">
        <v>80</v>
      </c>
      <c r="I235">
        <v>2</v>
      </c>
      <c r="J235">
        <v>80</v>
      </c>
      <c r="L235">
        <v>7.0000000000000007E-2</v>
      </c>
      <c r="M235">
        <f t="shared" si="3"/>
        <v>0</v>
      </c>
      <c r="N235" t="b">
        <v>1</v>
      </c>
      <c r="O235">
        <v>1374.49</v>
      </c>
      <c r="P235">
        <v>1374.49</v>
      </c>
      <c r="Q235">
        <v>21010</v>
      </c>
      <c r="R235">
        <v>21010</v>
      </c>
    </row>
    <row r="236" spans="1:18" x14ac:dyDescent="0.25">
      <c r="A236" t="s">
        <v>509</v>
      </c>
      <c r="B236" t="s">
        <v>510</v>
      </c>
      <c r="C236" s="1">
        <v>41962</v>
      </c>
      <c r="D236" t="s">
        <v>93</v>
      </c>
      <c r="E236" t="s">
        <v>511</v>
      </c>
      <c r="F236" t="s">
        <v>512</v>
      </c>
      <c r="G236" t="s">
        <v>350</v>
      </c>
      <c r="H236">
        <v>390</v>
      </c>
      <c r="I236">
        <v>5</v>
      </c>
      <c r="J236">
        <v>170</v>
      </c>
      <c r="K236">
        <v>1028.04</v>
      </c>
      <c r="L236">
        <v>7.0000000000000007E-2</v>
      </c>
      <c r="M236">
        <f t="shared" si="3"/>
        <v>1100</v>
      </c>
      <c r="N236" t="b">
        <v>1</v>
      </c>
      <c r="O236">
        <v>392.19</v>
      </c>
      <c r="P236">
        <v>392.19</v>
      </c>
      <c r="Q236">
        <v>5995.14</v>
      </c>
      <c r="R236">
        <v>5995.14</v>
      </c>
    </row>
    <row r="237" spans="1:18" x14ac:dyDescent="0.25">
      <c r="A237" t="s">
        <v>513</v>
      </c>
      <c r="B237" t="s">
        <v>510</v>
      </c>
      <c r="C237" s="1">
        <v>41962</v>
      </c>
      <c r="D237" t="s">
        <v>93</v>
      </c>
      <c r="E237" t="s">
        <v>511</v>
      </c>
      <c r="F237" t="s">
        <v>512</v>
      </c>
      <c r="G237" t="s">
        <v>514</v>
      </c>
      <c r="H237">
        <v>830</v>
      </c>
      <c r="I237">
        <v>3</v>
      </c>
      <c r="J237">
        <v>240</v>
      </c>
      <c r="K237">
        <v>1654.21</v>
      </c>
      <c r="L237">
        <v>7.0000000000000007E-2</v>
      </c>
      <c r="M237">
        <f t="shared" si="3"/>
        <v>1770</v>
      </c>
      <c r="N237" t="b">
        <v>1</v>
      </c>
      <c r="O237">
        <v>392.19</v>
      </c>
      <c r="P237">
        <v>392.19</v>
      </c>
      <c r="Q237">
        <v>5995.14</v>
      </c>
      <c r="R237">
        <v>5995.14</v>
      </c>
    </row>
    <row r="238" spans="1:18" x14ac:dyDescent="0.25">
      <c r="A238" t="s">
        <v>515</v>
      </c>
      <c r="B238" t="s">
        <v>510</v>
      </c>
      <c r="C238" s="1">
        <v>41962</v>
      </c>
      <c r="D238" t="s">
        <v>93</v>
      </c>
      <c r="E238" t="s">
        <v>511</v>
      </c>
      <c r="F238" t="s">
        <v>512</v>
      </c>
      <c r="G238" t="s">
        <v>516</v>
      </c>
      <c r="H238">
        <v>830</v>
      </c>
      <c r="I238">
        <v>3</v>
      </c>
      <c r="J238">
        <v>240</v>
      </c>
      <c r="K238">
        <v>1654.21</v>
      </c>
      <c r="L238">
        <v>7.0000000000000007E-2</v>
      </c>
      <c r="M238">
        <f t="shared" si="3"/>
        <v>1770</v>
      </c>
      <c r="N238" t="b">
        <v>1</v>
      </c>
      <c r="O238">
        <v>392.19</v>
      </c>
      <c r="P238">
        <v>392.19</v>
      </c>
      <c r="Q238">
        <v>5995.14</v>
      </c>
      <c r="R238">
        <v>5995.14</v>
      </c>
    </row>
    <row r="239" spans="1:18" x14ac:dyDescent="0.25">
      <c r="A239" t="s">
        <v>517</v>
      </c>
      <c r="B239" t="s">
        <v>510</v>
      </c>
      <c r="C239" s="1">
        <v>41962</v>
      </c>
      <c r="D239" t="s">
        <v>93</v>
      </c>
      <c r="E239" t="s">
        <v>511</v>
      </c>
      <c r="F239" t="s">
        <v>512</v>
      </c>
      <c r="G239" t="s">
        <v>375</v>
      </c>
      <c r="H239">
        <v>1950</v>
      </c>
      <c r="I239">
        <v>1</v>
      </c>
      <c r="J239">
        <v>594.86</v>
      </c>
      <c r="K239">
        <v>1266.49</v>
      </c>
      <c r="L239">
        <v>7.0000000000000007E-2</v>
      </c>
      <c r="M239">
        <f t="shared" si="3"/>
        <v>1355.1</v>
      </c>
      <c r="N239" t="b">
        <v>1</v>
      </c>
      <c r="O239">
        <v>392.19</v>
      </c>
      <c r="P239">
        <v>392.19</v>
      </c>
      <c r="Q239">
        <v>5995.14</v>
      </c>
      <c r="R239">
        <v>5995.14</v>
      </c>
    </row>
    <row r="240" spans="1:18" x14ac:dyDescent="0.25">
      <c r="A240" t="s">
        <v>518</v>
      </c>
      <c r="B240" t="s">
        <v>519</v>
      </c>
      <c r="C240" s="1">
        <v>41962</v>
      </c>
      <c r="D240" t="s">
        <v>19</v>
      </c>
      <c r="E240" t="s">
        <v>20</v>
      </c>
      <c r="F240" t="s">
        <v>233</v>
      </c>
      <c r="G240" t="s">
        <v>330</v>
      </c>
      <c r="H240">
        <v>982.09</v>
      </c>
      <c r="I240">
        <v>35</v>
      </c>
      <c r="K240">
        <v>32124.44</v>
      </c>
      <c r="L240">
        <v>7.0000000000000007E-2</v>
      </c>
      <c r="M240">
        <f t="shared" si="3"/>
        <v>34373.199999999997</v>
      </c>
      <c r="O240">
        <v>7794.95</v>
      </c>
      <c r="P240">
        <v>7794.95</v>
      </c>
      <c r="Q240">
        <v>119151.41</v>
      </c>
      <c r="R240">
        <v>119151.41</v>
      </c>
    </row>
    <row r="241" spans="1:18" x14ac:dyDescent="0.25">
      <c r="A241" t="s">
        <v>520</v>
      </c>
      <c r="B241" t="s">
        <v>519</v>
      </c>
      <c r="C241" s="1">
        <v>41962</v>
      </c>
      <c r="D241" t="s">
        <v>19</v>
      </c>
      <c r="E241" t="s">
        <v>20</v>
      </c>
      <c r="F241" t="s">
        <v>233</v>
      </c>
      <c r="G241" t="s">
        <v>521</v>
      </c>
      <c r="H241">
        <v>1194.06</v>
      </c>
      <c r="I241">
        <v>71</v>
      </c>
      <c r="K241">
        <v>79232.02</v>
      </c>
      <c r="L241">
        <v>7.0000000000000007E-2</v>
      </c>
      <c r="M241">
        <f t="shared" si="3"/>
        <v>84778.3</v>
      </c>
      <c r="O241">
        <v>7794.95</v>
      </c>
      <c r="P241">
        <v>7794.95</v>
      </c>
      <c r="Q241">
        <v>119151.41</v>
      </c>
      <c r="R241">
        <v>119151.41</v>
      </c>
    </row>
    <row r="242" spans="1:18" x14ac:dyDescent="0.25">
      <c r="A242" t="s">
        <v>522</v>
      </c>
      <c r="B242" t="s">
        <v>523</v>
      </c>
      <c r="C242" s="1">
        <v>41961</v>
      </c>
      <c r="D242" t="s">
        <v>58</v>
      </c>
      <c r="E242" t="s">
        <v>118</v>
      </c>
      <c r="F242" t="s">
        <v>164</v>
      </c>
      <c r="G242" t="s">
        <v>310</v>
      </c>
      <c r="H242">
        <v>1671.02</v>
      </c>
      <c r="I242">
        <v>1</v>
      </c>
      <c r="K242">
        <v>1561.7</v>
      </c>
      <c r="L242">
        <v>7.0000000000000007E-2</v>
      </c>
      <c r="M242">
        <f t="shared" si="3"/>
        <v>1671</v>
      </c>
      <c r="O242">
        <v>229.47</v>
      </c>
      <c r="P242">
        <v>229.47</v>
      </c>
      <c r="Q242">
        <v>3507.46</v>
      </c>
      <c r="R242">
        <v>3507.46</v>
      </c>
    </row>
    <row r="243" spans="1:18" x14ac:dyDescent="0.25">
      <c r="A243" t="s">
        <v>524</v>
      </c>
      <c r="B243" t="s">
        <v>523</v>
      </c>
      <c r="C243" s="1">
        <v>41961</v>
      </c>
      <c r="D243" t="s">
        <v>58</v>
      </c>
      <c r="E243" t="s">
        <v>118</v>
      </c>
      <c r="F243" t="s">
        <v>164</v>
      </c>
      <c r="G243" t="s">
        <v>525</v>
      </c>
      <c r="H243">
        <v>643.91999999999996</v>
      </c>
      <c r="I243">
        <v>1</v>
      </c>
      <c r="K243">
        <v>601.79</v>
      </c>
      <c r="L243">
        <v>7.0000000000000007E-2</v>
      </c>
      <c r="M243">
        <f t="shared" si="3"/>
        <v>643.9</v>
      </c>
      <c r="O243">
        <v>229.47</v>
      </c>
      <c r="P243">
        <v>229.47</v>
      </c>
      <c r="Q243">
        <v>3507.46</v>
      </c>
      <c r="R243">
        <v>3507.46</v>
      </c>
    </row>
    <row r="244" spans="1:18" x14ac:dyDescent="0.25">
      <c r="A244" t="s">
        <v>526</v>
      </c>
      <c r="B244" t="s">
        <v>523</v>
      </c>
      <c r="C244" s="1">
        <v>41961</v>
      </c>
      <c r="D244" t="s">
        <v>58</v>
      </c>
      <c r="E244" t="s">
        <v>118</v>
      </c>
      <c r="F244" t="s">
        <v>164</v>
      </c>
      <c r="G244" t="s">
        <v>350</v>
      </c>
      <c r="H244">
        <v>298.13</v>
      </c>
      <c r="I244">
        <v>4</v>
      </c>
      <c r="K244">
        <v>1114.5</v>
      </c>
      <c r="L244">
        <v>7.0000000000000007E-2</v>
      </c>
      <c r="M244">
        <f t="shared" si="3"/>
        <v>1192.5</v>
      </c>
      <c r="O244">
        <v>229.47</v>
      </c>
      <c r="P244">
        <v>229.47</v>
      </c>
      <c r="Q244">
        <v>3507.46</v>
      </c>
      <c r="R244">
        <v>3507.46</v>
      </c>
    </row>
    <row r="245" spans="1:18" x14ac:dyDescent="0.25">
      <c r="A245" t="s">
        <v>527</v>
      </c>
      <c r="B245" t="s">
        <v>528</v>
      </c>
      <c r="C245" s="1">
        <v>41960</v>
      </c>
      <c r="D245" t="s">
        <v>93</v>
      </c>
      <c r="E245" t="s">
        <v>20</v>
      </c>
      <c r="F245" t="s">
        <v>529</v>
      </c>
      <c r="G245" t="s">
        <v>516</v>
      </c>
      <c r="H245">
        <v>1390</v>
      </c>
      <c r="I245">
        <v>1</v>
      </c>
      <c r="J245">
        <v>1390</v>
      </c>
      <c r="L245">
        <v>7.0000000000000007E-2</v>
      </c>
      <c r="M245">
        <f t="shared" si="3"/>
        <v>0</v>
      </c>
      <c r="N245" t="b">
        <v>1</v>
      </c>
    </row>
    <row r="246" spans="1:18" x14ac:dyDescent="0.25">
      <c r="A246" t="s">
        <v>530</v>
      </c>
      <c r="B246" t="s">
        <v>531</v>
      </c>
      <c r="C246" s="1">
        <v>41960</v>
      </c>
      <c r="D246" t="s">
        <v>93</v>
      </c>
      <c r="E246" t="s">
        <v>20</v>
      </c>
      <c r="F246" t="s">
        <v>532</v>
      </c>
      <c r="G246" t="s">
        <v>492</v>
      </c>
      <c r="H246">
        <v>690</v>
      </c>
      <c r="I246">
        <v>1</v>
      </c>
      <c r="J246">
        <v>690</v>
      </c>
      <c r="L246">
        <v>7.0000000000000007E-2</v>
      </c>
      <c r="M246">
        <f t="shared" si="3"/>
        <v>0</v>
      </c>
      <c r="N246" t="b">
        <v>1</v>
      </c>
    </row>
    <row r="247" spans="1:18" x14ac:dyDescent="0.25">
      <c r="A247" t="s">
        <v>533</v>
      </c>
      <c r="B247" t="s">
        <v>531</v>
      </c>
      <c r="C247" s="1">
        <v>41960</v>
      </c>
      <c r="D247" t="s">
        <v>93</v>
      </c>
      <c r="E247" t="s">
        <v>20</v>
      </c>
      <c r="F247" t="s">
        <v>532</v>
      </c>
      <c r="G247" t="s">
        <v>534</v>
      </c>
      <c r="H247">
        <v>70</v>
      </c>
      <c r="I247">
        <v>2</v>
      </c>
      <c r="J247">
        <v>70</v>
      </c>
      <c r="L247">
        <v>7.0000000000000007E-2</v>
      </c>
      <c r="M247">
        <f t="shared" si="3"/>
        <v>0</v>
      </c>
      <c r="N247" t="b">
        <v>1</v>
      </c>
    </row>
    <row r="248" spans="1:18" x14ac:dyDescent="0.25">
      <c r="A248" t="s">
        <v>535</v>
      </c>
      <c r="B248" t="s">
        <v>536</v>
      </c>
      <c r="C248" s="1">
        <v>41960</v>
      </c>
      <c r="D248" t="s">
        <v>93</v>
      </c>
      <c r="E248" t="s">
        <v>20</v>
      </c>
      <c r="F248" t="s">
        <v>537</v>
      </c>
      <c r="G248" t="s">
        <v>534</v>
      </c>
      <c r="H248">
        <v>70</v>
      </c>
      <c r="I248">
        <v>1</v>
      </c>
      <c r="J248">
        <v>70</v>
      </c>
      <c r="L248">
        <v>7.0000000000000007E-2</v>
      </c>
      <c r="M248">
        <f t="shared" si="3"/>
        <v>0</v>
      </c>
      <c r="N248" t="b">
        <v>1</v>
      </c>
    </row>
    <row r="249" spans="1:18" x14ac:dyDescent="0.25">
      <c r="A249" t="s">
        <v>538</v>
      </c>
      <c r="B249" t="s">
        <v>536</v>
      </c>
      <c r="C249" s="1">
        <v>41960</v>
      </c>
      <c r="D249" t="s">
        <v>93</v>
      </c>
      <c r="E249" t="s">
        <v>20</v>
      </c>
      <c r="F249" t="s">
        <v>537</v>
      </c>
      <c r="G249" t="s">
        <v>350</v>
      </c>
      <c r="H249">
        <v>410</v>
      </c>
      <c r="I249">
        <v>1</v>
      </c>
      <c r="J249">
        <v>410</v>
      </c>
      <c r="L249">
        <v>7.0000000000000007E-2</v>
      </c>
      <c r="M249">
        <f t="shared" si="3"/>
        <v>0</v>
      </c>
      <c r="N249" t="b">
        <v>1</v>
      </c>
    </row>
    <row r="250" spans="1:18" x14ac:dyDescent="0.25">
      <c r="A250" t="s">
        <v>539</v>
      </c>
      <c r="B250" t="s">
        <v>540</v>
      </c>
      <c r="C250" s="1">
        <v>41960</v>
      </c>
      <c r="D250" t="s">
        <v>93</v>
      </c>
      <c r="E250" t="s">
        <v>20</v>
      </c>
      <c r="F250" t="s">
        <v>541</v>
      </c>
      <c r="G250" t="s">
        <v>338</v>
      </c>
      <c r="H250">
        <v>1040</v>
      </c>
      <c r="I250">
        <v>5</v>
      </c>
      <c r="J250">
        <v>-0.19</v>
      </c>
      <c r="K250">
        <v>4860.7</v>
      </c>
      <c r="L250">
        <v>7.0000000000000007E-2</v>
      </c>
      <c r="M250">
        <f t="shared" si="3"/>
        <v>5200.8999999999996</v>
      </c>
      <c r="N250" t="b">
        <v>1</v>
      </c>
      <c r="O250">
        <v>340.25</v>
      </c>
      <c r="P250">
        <v>340.25</v>
      </c>
      <c r="Q250">
        <v>5200.95</v>
      </c>
      <c r="R250">
        <v>5200.95</v>
      </c>
    </row>
    <row r="251" spans="1:18" x14ac:dyDescent="0.25">
      <c r="A251" t="s">
        <v>542</v>
      </c>
      <c r="B251" t="s">
        <v>543</v>
      </c>
      <c r="C251" s="1">
        <v>41960</v>
      </c>
      <c r="D251" t="s">
        <v>93</v>
      </c>
      <c r="E251" t="s">
        <v>20</v>
      </c>
      <c r="F251" t="s">
        <v>544</v>
      </c>
      <c r="G251" t="s">
        <v>324</v>
      </c>
      <c r="H251">
        <v>970</v>
      </c>
      <c r="I251">
        <v>2</v>
      </c>
      <c r="J251">
        <v>220</v>
      </c>
      <c r="K251">
        <v>1401.87</v>
      </c>
      <c r="L251">
        <v>7.0000000000000007E-2</v>
      </c>
      <c r="M251">
        <f t="shared" si="3"/>
        <v>1500</v>
      </c>
      <c r="N251" t="b">
        <v>1</v>
      </c>
      <c r="O251">
        <v>1126.55</v>
      </c>
      <c r="P251">
        <v>1126.55</v>
      </c>
      <c r="Q251">
        <v>17220</v>
      </c>
      <c r="R251">
        <v>17220</v>
      </c>
    </row>
    <row r="252" spans="1:18" x14ac:dyDescent="0.25">
      <c r="A252" t="s">
        <v>545</v>
      </c>
      <c r="B252" t="s">
        <v>543</v>
      </c>
      <c r="C252" s="1">
        <v>41960</v>
      </c>
      <c r="D252" t="s">
        <v>93</v>
      </c>
      <c r="E252" t="s">
        <v>20</v>
      </c>
      <c r="F252" t="s">
        <v>544</v>
      </c>
      <c r="G252" t="s">
        <v>322</v>
      </c>
      <c r="H252">
        <v>970</v>
      </c>
      <c r="I252">
        <v>2</v>
      </c>
      <c r="J252">
        <v>220</v>
      </c>
      <c r="K252">
        <v>1401.87</v>
      </c>
      <c r="L252">
        <v>7.0000000000000007E-2</v>
      </c>
      <c r="M252">
        <f t="shared" si="3"/>
        <v>1500</v>
      </c>
      <c r="N252" t="b">
        <v>1</v>
      </c>
      <c r="O252">
        <v>1126.55</v>
      </c>
      <c r="P252">
        <v>1126.55</v>
      </c>
      <c r="Q252">
        <v>17220</v>
      </c>
      <c r="R252">
        <v>17220</v>
      </c>
    </row>
    <row r="253" spans="1:18" x14ac:dyDescent="0.25">
      <c r="A253" t="s">
        <v>546</v>
      </c>
      <c r="B253" t="s">
        <v>543</v>
      </c>
      <c r="C253" s="1">
        <v>41960</v>
      </c>
      <c r="D253" t="s">
        <v>93</v>
      </c>
      <c r="E253" t="s">
        <v>20</v>
      </c>
      <c r="F253" t="s">
        <v>544</v>
      </c>
      <c r="G253" t="s">
        <v>333</v>
      </c>
      <c r="H253">
        <v>970</v>
      </c>
      <c r="I253">
        <v>2</v>
      </c>
      <c r="J253">
        <v>220</v>
      </c>
      <c r="K253">
        <v>1401.87</v>
      </c>
      <c r="L253">
        <v>7.0000000000000007E-2</v>
      </c>
      <c r="M253">
        <f t="shared" si="3"/>
        <v>1500</v>
      </c>
      <c r="N253" t="b">
        <v>1</v>
      </c>
      <c r="O253">
        <v>1126.55</v>
      </c>
      <c r="P253">
        <v>1126.55</v>
      </c>
      <c r="Q253">
        <v>17220</v>
      </c>
      <c r="R253">
        <v>17220</v>
      </c>
    </row>
    <row r="254" spans="1:18" x14ac:dyDescent="0.25">
      <c r="A254" t="s">
        <v>547</v>
      </c>
      <c r="B254" t="s">
        <v>543</v>
      </c>
      <c r="C254" s="1">
        <v>41960</v>
      </c>
      <c r="D254" t="s">
        <v>93</v>
      </c>
      <c r="E254" t="s">
        <v>20</v>
      </c>
      <c r="F254" t="s">
        <v>544</v>
      </c>
      <c r="G254" t="s">
        <v>444</v>
      </c>
      <c r="H254">
        <v>1320</v>
      </c>
      <c r="I254">
        <v>2</v>
      </c>
      <c r="J254">
        <v>350</v>
      </c>
      <c r="K254">
        <v>1813.08</v>
      </c>
      <c r="L254">
        <v>7.0000000000000007E-2</v>
      </c>
      <c r="M254">
        <f t="shared" si="3"/>
        <v>1940</v>
      </c>
      <c r="N254" t="b">
        <v>1</v>
      </c>
      <c r="O254">
        <v>1126.55</v>
      </c>
      <c r="P254">
        <v>1126.55</v>
      </c>
      <c r="Q254">
        <v>17220</v>
      </c>
      <c r="R254">
        <v>17220</v>
      </c>
    </row>
    <row r="255" spans="1:18" x14ac:dyDescent="0.25">
      <c r="A255" t="s">
        <v>548</v>
      </c>
      <c r="B255" t="s">
        <v>543</v>
      </c>
      <c r="C255" s="1">
        <v>41960</v>
      </c>
      <c r="D255" t="s">
        <v>93</v>
      </c>
      <c r="E255" t="s">
        <v>20</v>
      </c>
      <c r="F255" t="s">
        <v>544</v>
      </c>
      <c r="G255" t="s">
        <v>446</v>
      </c>
      <c r="H255">
        <v>1320</v>
      </c>
      <c r="I255">
        <v>2</v>
      </c>
      <c r="J255">
        <v>350</v>
      </c>
      <c r="K255">
        <v>1813.08</v>
      </c>
      <c r="L255">
        <v>7.0000000000000007E-2</v>
      </c>
      <c r="M255">
        <f t="shared" si="3"/>
        <v>1940</v>
      </c>
      <c r="N255" t="b">
        <v>1</v>
      </c>
      <c r="O255">
        <v>1126.55</v>
      </c>
      <c r="P255">
        <v>1126.55</v>
      </c>
      <c r="Q255">
        <v>17220</v>
      </c>
      <c r="R255">
        <v>17220</v>
      </c>
    </row>
    <row r="256" spans="1:18" x14ac:dyDescent="0.25">
      <c r="A256" t="s">
        <v>549</v>
      </c>
      <c r="B256" t="s">
        <v>543</v>
      </c>
      <c r="C256" s="1">
        <v>41960</v>
      </c>
      <c r="D256" t="s">
        <v>93</v>
      </c>
      <c r="E256" t="s">
        <v>20</v>
      </c>
      <c r="F256" t="s">
        <v>544</v>
      </c>
      <c r="G256" t="s">
        <v>442</v>
      </c>
      <c r="H256">
        <v>1320</v>
      </c>
      <c r="I256">
        <v>2</v>
      </c>
      <c r="J256">
        <v>350</v>
      </c>
      <c r="K256">
        <v>1813.08</v>
      </c>
      <c r="L256">
        <v>7.0000000000000007E-2</v>
      </c>
      <c r="M256">
        <f t="shared" si="3"/>
        <v>1940</v>
      </c>
      <c r="N256" t="b">
        <v>1</v>
      </c>
      <c r="O256">
        <v>1126.55</v>
      </c>
      <c r="P256">
        <v>1126.55</v>
      </c>
      <c r="Q256">
        <v>17220</v>
      </c>
      <c r="R256">
        <v>17220</v>
      </c>
    </row>
    <row r="257" spans="1:18" x14ac:dyDescent="0.25">
      <c r="A257" t="s">
        <v>550</v>
      </c>
      <c r="B257" t="s">
        <v>543</v>
      </c>
      <c r="C257" s="1">
        <v>41960</v>
      </c>
      <c r="D257" t="s">
        <v>93</v>
      </c>
      <c r="E257" t="s">
        <v>20</v>
      </c>
      <c r="F257" t="s">
        <v>544</v>
      </c>
      <c r="G257" t="s">
        <v>358</v>
      </c>
      <c r="H257">
        <v>1390</v>
      </c>
      <c r="I257">
        <v>3</v>
      </c>
      <c r="J257">
        <v>240</v>
      </c>
      <c r="K257">
        <v>3224.3</v>
      </c>
      <c r="L257">
        <v>7.0000000000000007E-2</v>
      </c>
      <c r="M257">
        <f t="shared" si="3"/>
        <v>3450</v>
      </c>
      <c r="N257" t="b">
        <v>1</v>
      </c>
      <c r="O257">
        <v>1126.55</v>
      </c>
      <c r="P257">
        <v>1126.55</v>
      </c>
      <c r="Q257">
        <v>17220</v>
      </c>
      <c r="R257">
        <v>17220</v>
      </c>
    </row>
    <row r="258" spans="1:18" x14ac:dyDescent="0.25">
      <c r="A258" t="s">
        <v>551</v>
      </c>
      <c r="B258" t="s">
        <v>543</v>
      </c>
      <c r="C258" s="1">
        <v>41960</v>
      </c>
      <c r="D258" t="s">
        <v>93</v>
      </c>
      <c r="E258" t="s">
        <v>20</v>
      </c>
      <c r="F258" t="s">
        <v>544</v>
      </c>
      <c r="G258" t="s">
        <v>360</v>
      </c>
      <c r="H258">
        <v>1390</v>
      </c>
      <c r="I258">
        <v>3</v>
      </c>
      <c r="J258">
        <v>240</v>
      </c>
      <c r="K258">
        <v>3224.3</v>
      </c>
      <c r="L258">
        <v>7.0000000000000007E-2</v>
      </c>
      <c r="M258">
        <f t="shared" si="3"/>
        <v>3450</v>
      </c>
      <c r="N258" t="b">
        <v>1</v>
      </c>
      <c r="O258">
        <v>1126.55</v>
      </c>
      <c r="P258">
        <v>1126.55</v>
      </c>
      <c r="Q258">
        <v>17220</v>
      </c>
      <c r="R258">
        <v>17220</v>
      </c>
    </row>
    <row r="259" spans="1:18" x14ac:dyDescent="0.25">
      <c r="A259" t="s">
        <v>552</v>
      </c>
      <c r="B259" t="s">
        <v>553</v>
      </c>
      <c r="C259" s="1">
        <v>41960</v>
      </c>
      <c r="D259" t="s">
        <v>93</v>
      </c>
      <c r="E259" t="s">
        <v>53</v>
      </c>
      <c r="F259" t="s">
        <v>554</v>
      </c>
      <c r="G259" t="s">
        <v>555</v>
      </c>
      <c r="H259">
        <v>320</v>
      </c>
      <c r="I259">
        <v>3</v>
      </c>
      <c r="J259">
        <v>95</v>
      </c>
      <c r="K259">
        <v>630.84</v>
      </c>
      <c r="L259">
        <v>7.0000000000000007E-2</v>
      </c>
      <c r="M259">
        <f t="shared" si="3"/>
        <v>675</v>
      </c>
      <c r="N259" t="b">
        <v>1</v>
      </c>
      <c r="O259">
        <v>1108.8800000000001</v>
      </c>
      <c r="P259">
        <v>1108.8800000000001</v>
      </c>
      <c r="Q259">
        <v>16950</v>
      </c>
      <c r="R259">
        <v>16950</v>
      </c>
    </row>
    <row r="260" spans="1:18" x14ac:dyDescent="0.25">
      <c r="A260" t="s">
        <v>556</v>
      </c>
      <c r="B260" t="s">
        <v>553</v>
      </c>
      <c r="C260" s="1">
        <v>41960</v>
      </c>
      <c r="D260" t="s">
        <v>93</v>
      </c>
      <c r="E260" t="s">
        <v>53</v>
      </c>
      <c r="F260" t="s">
        <v>554</v>
      </c>
      <c r="G260" t="s">
        <v>557</v>
      </c>
      <c r="H260">
        <v>320</v>
      </c>
      <c r="I260">
        <v>3</v>
      </c>
      <c r="J260">
        <v>95</v>
      </c>
      <c r="K260">
        <v>630.84</v>
      </c>
      <c r="L260">
        <v>7.0000000000000007E-2</v>
      </c>
      <c r="M260">
        <f t="shared" ref="M260:M323" si="4">ROUND(K260*(1+L260),1)</f>
        <v>675</v>
      </c>
      <c r="N260" t="b">
        <v>1</v>
      </c>
      <c r="O260">
        <v>1108.8800000000001</v>
      </c>
      <c r="P260">
        <v>1108.8800000000001</v>
      </c>
      <c r="Q260">
        <v>16950</v>
      </c>
      <c r="R260">
        <v>16950</v>
      </c>
    </row>
    <row r="261" spans="1:18" x14ac:dyDescent="0.25">
      <c r="A261" t="s">
        <v>558</v>
      </c>
      <c r="B261" t="s">
        <v>553</v>
      </c>
      <c r="C261" s="1">
        <v>41960</v>
      </c>
      <c r="D261" t="s">
        <v>93</v>
      </c>
      <c r="E261" t="s">
        <v>53</v>
      </c>
      <c r="F261" t="s">
        <v>554</v>
      </c>
      <c r="G261" t="s">
        <v>559</v>
      </c>
      <c r="H261">
        <v>1950</v>
      </c>
      <c r="I261">
        <v>6</v>
      </c>
      <c r="J261">
        <v>650</v>
      </c>
      <c r="K261">
        <v>7289.72</v>
      </c>
      <c r="L261">
        <v>7.0000000000000007E-2</v>
      </c>
      <c r="M261">
        <f t="shared" si="4"/>
        <v>7800</v>
      </c>
      <c r="N261" t="b">
        <v>1</v>
      </c>
      <c r="O261">
        <v>1108.8800000000001</v>
      </c>
      <c r="P261">
        <v>1108.8800000000001</v>
      </c>
      <c r="Q261">
        <v>16950</v>
      </c>
      <c r="R261">
        <v>16950</v>
      </c>
    </row>
    <row r="262" spans="1:18" x14ac:dyDescent="0.25">
      <c r="A262" t="s">
        <v>560</v>
      </c>
      <c r="B262" t="s">
        <v>553</v>
      </c>
      <c r="C262" s="1">
        <v>41960</v>
      </c>
      <c r="D262" t="s">
        <v>93</v>
      </c>
      <c r="E262" t="s">
        <v>53</v>
      </c>
      <c r="F262" t="s">
        <v>554</v>
      </c>
      <c r="G262" t="s">
        <v>375</v>
      </c>
      <c r="H262">
        <v>1950</v>
      </c>
      <c r="I262">
        <v>6</v>
      </c>
      <c r="J262">
        <v>650</v>
      </c>
      <c r="K262">
        <v>7289.72</v>
      </c>
      <c r="L262">
        <v>7.0000000000000007E-2</v>
      </c>
      <c r="M262">
        <f t="shared" si="4"/>
        <v>7800</v>
      </c>
      <c r="N262" t="b">
        <v>1</v>
      </c>
      <c r="O262">
        <v>1108.8800000000001</v>
      </c>
      <c r="P262">
        <v>1108.8800000000001</v>
      </c>
      <c r="Q262">
        <v>16950</v>
      </c>
      <c r="R262">
        <v>16950</v>
      </c>
    </row>
    <row r="263" spans="1:18" x14ac:dyDescent="0.25">
      <c r="A263" t="s">
        <v>561</v>
      </c>
      <c r="B263" t="s">
        <v>562</v>
      </c>
      <c r="C263" s="1">
        <v>41960</v>
      </c>
      <c r="D263" t="s">
        <v>93</v>
      </c>
      <c r="E263" t="s">
        <v>20</v>
      </c>
      <c r="F263" t="s">
        <v>378</v>
      </c>
      <c r="G263" t="s">
        <v>366</v>
      </c>
      <c r="H263">
        <v>1390</v>
      </c>
      <c r="I263">
        <v>12</v>
      </c>
      <c r="J263">
        <v>320</v>
      </c>
      <c r="K263">
        <v>11361.32</v>
      </c>
      <c r="L263">
        <v>7.0000000000000007E-2</v>
      </c>
      <c r="M263">
        <f t="shared" si="4"/>
        <v>12156.6</v>
      </c>
      <c r="N263" t="b">
        <v>1</v>
      </c>
      <c r="O263">
        <v>795.29</v>
      </c>
      <c r="P263">
        <v>795.29</v>
      </c>
      <c r="Q263">
        <v>12156.61</v>
      </c>
      <c r="R263">
        <v>12156.61</v>
      </c>
    </row>
    <row r="264" spans="1:18" x14ac:dyDescent="0.25">
      <c r="A264" t="s">
        <v>563</v>
      </c>
      <c r="B264" t="s">
        <v>564</v>
      </c>
      <c r="C264" s="1">
        <v>41960</v>
      </c>
      <c r="D264" t="s">
        <v>93</v>
      </c>
      <c r="E264" t="s">
        <v>20</v>
      </c>
      <c r="F264" t="s">
        <v>565</v>
      </c>
      <c r="G264" t="s">
        <v>393</v>
      </c>
      <c r="H264">
        <v>1690</v>
      </c>
      <c r="I264">
        <v>1</v>
      </c>
      <c r="J264">
        <v>290</v>
      </c>
      <c r="K264">
        <v>1308.4100000000001</v>
      </c>
      <c r="L264">
        <v>7.0000000000000007E-2</v>
      </c>
      <c r="M264">
        <f t="shared" si="4"/>
        <v>1400</v>
      </c>
      <c r="N264" t="b">
        <v>1</v>
      </c>
      <c r="O264">
        <v>91.59</v>
      </c>
      <c r="P264">
        <v>91.59</v>
      </c>
      <c r="Q264">
        <v>1400</v>
      </c>
      <c r="R264">
        <v>1400</v>
      </c>
    </row>
    <row r="265" spans="1:18" x14ac:dyDescent="0.25">
      <c r="A265" t="s">
        <v>566</v>
      </c>
      <c r="B265" t="s">
        <v>567</v>
      </c>
      <c r="C265" s="1">
        <v>41960</v>
      </c>
      <c r="D265" t="s">
        <v>93</v>
      </c>
      <c r="E265" t="s">
        <v>20</v>
      </c>
      <c r="F265" t="s">
        <v>568</v>
      </c>
      <c r="G265" t="s">
        <v>557</v>
      </c>
      <c r="H265">
        <v>450</v>
      </c>
      <c r="I265">
        <v>3</v>
      </c>
      <c r="J265">
        <v>195</v>
      </c>
      <c r="K265">
        <v>714.95</v>
      </c>
      <c r="L265">
        <v>7.0000000000000007E-2</v>
      </c>
      <c r="M265">
        <f t="shared" si="4"/>
        <v>765</v>
      </c>
      <c r="N265" t="b">
        <v>1</v>
      </c>
      <c r="O265">
        <v>688.89</v>
      </c>
      <c r="P265">
        <v>688.89</v>
      </c>
      <c r="Q265">
        <v>10530</v>
      </c>
      <c r="R265">
        <v>10530</v>
      </c>
    </row>
    <row r="266" spans="1:18" x14ac:dyDescent="0.25">
      <c r="A266" t="s">
        <v>569</v>
      </c>
      <c r="B266" t="s">
        <v>567</v>
      </c>
      <c r="C266" s="1">
        <v>41960</v>
      </c>
      <c r="D266" t="s">
        <v>93</v>
      </c>
      <c r="E266" t="s">
        <v>20</v>
      </c>
      <c r="F266" t="s">
        <v>568</v>
      </c>
      <c r="G266" t="s">
        <v>555</v>
      </c>
      <c r="H266">
        <v>450</v>
      </c>
      <c r="I266">
        <v>3</v>
      </c>
      <c r="J266">
        <v>195</v>
      </c>
      <c r="K266">
        <v>714.95</v>
      </c>
      <c r="L266">
        <v>7.0000000000000007E-2</v>
      </c>
      <c r="M266">
        <f t="shared" si="4"/>
        <v>765</v>
      </c>
      <c r="N266" t="b">
        <v>1</v>
      </c>
      <c r="O266">
        <v>688.89</v>
      </c>
      <c r="P266">
        <v>688.89</v>
      </c>
      <c r="Q266">
        <v>10530</v>
      </c>
      <c r="R266">
        <v>10530</v>
      </c>
    </row>
    <row r="267" spans="1:18" x14ac:dyDescent="0.25">
      <c r="A267" t="s">
        <v>570</v>
      </c>
      <c r="B267" t="s">
        <v>567</v>
      </c>
      <c r="C267" s="1">
        <v>41960</v>
      </c>
      <c r="D267" t="s">
        <v>93</v>
      </c>
      <c r="E267" t="s">
        <v>20</v>
      </c>
      <c r="F267" t="s">
        <v>568</v>
      </c>
      <c r="G267" t="s">
        <v>393</v>
      </c>
      <c r="H267">
        <v>1690</v>
      </c>
      <c r="I267">
        <v>3</v>
      </c>
      <c r="J267">
        <v>890</v>
      </c>
      <c r="K267">
        <v>2242.9899999999998</v>
      </c>
      <c r="L267">
        <v>7.0000000000000007E-2</v>
      </c>
      <c r="M267">
        <f t="shared" si="4"/>
        <v>2400</v>
      </c>
      <c r="N267" t="b">
        <v>1</v>
      </c>
      <c r="O267">
        <v>688.89</v>
      </c>
      <c r="P267">
        <v>688.89</v>
      </c>
      <c r="Q267">
        <v>10530</v>
      </c>
      <c r="R267">
        <v>10530</v>
      </c>
    </row>
    <row r="268" spans="1:18" x14ac:dyDescent="0.25">
      <c r="A268" t="s">
        <v>571</v>
      </c>
      <c r="B268" t="s">
        <v>567</v>
      </c>
      <c r="C268" s="1">
        <v>41960</v>
      </c>
      <c r="D268" t="s">
        <v>93</v>
      </c>
      <c r="E268" t="s">
        <v>20</v>
      </c>
      <c r="F268" t="s">
        <v>568</v>
      </c>
      <c r="G268" t="s">
        <v>366</v>
      </c>
      <c r="H268">
        <v>1690</v>
      </c>
      <c r="I268">
        <v>3</v>
      </c>
      <c r="J268">
        <v>890</v>
      </c>
      <c r="K268">
        <v>2242.9899999999998</v>
      </c>
      <c r="L268">
        <v>7.0000000000000007E-2</v>
      </c>
      <c r="M268">
        <f t="shared" si="4"/>
        <v>2400</v>
      </c>
      <c r="N268" t="b">
        <v>1</v>
      </c>
      <c r="O268">
        <v>688.89</v>
      </c>
      <c r="P268">
        <v>688.89</v>
      </c>
      <c r="Q268">
        <v>10530</v>
      </c>
      <c r="R268">
        <v>10530</v>
      </c>
    </row>
    <row r="269" spans="1:18" x14ac:dyDescent="0.25">
      <c r="A269" t="s">
        <v>572</v>
      </c>
      <c r="B269" t="s">
        <v>567</v>
      </c>
      <c r="C269" s="1">
        <v>41960</v>
      </c>
      <c r="D269" t="s">
        <v>93</v>
      </c>
      <c r="E269" t="s">
        <v>20</v>
      </c>
      <c r="F269" t="s">
        <v>568</v>
      </c>
      <c r="G269" t="s">
        <v>387</v>
      </c>
      <c r="H269">
        <v>2490</v>
      </c>
      <c r="I269">
        <v>1</v>
      </c>
      <c r="J269">
        <v>1090</v>
      </c>
      <c r="K269">
        <v>1308.4100000000001</v>
      </c>
      <c r="L269">
        <v>7.0000000000000007E-2</v>
      </c>
      <c r="M269">
        <f t="shared" si="4"/>
        <v>1400</v>
      </c>
      <c r="N269" t="b">
        <v>1</v>
      </c>
      <c r="O269">
        <v>688.89</v>
      </c>
      <c r="P269">
        <v>688.89</v>
      </c>
      <c r="Q269">
        <v>10530</v>
      </c>
      <c r="R269">
        <v>10530</v>
      </c>
    </row>
    <row r="270" spans="1:18" x14ac:dyDescent="0.25">
      <c r="A270" t="s">
        <v>573</v>
      </c>
      <c r="B270" t="s">
        <v>567</v>
      </c>
      <c r="C270" s="1">
        <v>41960</v>
      </c>
      <c r="D270" t="s">
        <v>93</v>
      </c>
      <c r="E270" t="s">
        <v>20</v>
      </c>
      <c r="F270" t="s">
        <v>568</v>
      </c>
      <c r="G270" t="s">
        <v>362</v>
      </c>
      <c r="H270">
        <v>2490</v>
      </c>
      <c r="I270">
        <v>2</v>
      </c>
      <c r="J270">
        <v>1090</v>
      </c>
      <c r="K270">
        <v>2616.8200000000002</v>
      </c>
      <c r="L270">
        <v>7.0000000000000007E-2</v>
      </c>
      <c r="M270">
        <f t="shared" si="4"/>
        <v>2800</v>
      </c>
      <c r="N270" t="b">
        <v>1</v>
      </c>
      <c r="O270">
        <v>688.89</v>
      </c>
      <c r="P270">
        <v>688.89</v>
      </c>
      <c r="Q270">
        <v>10530</v>
      </c>
      <c r="R270">
        <v>10530</v>
      </c>
    </row>
    <row r="271" spans="1:18" x14ac:dyDescent="0.25">
      <c r="A271" t="s">
        <v>574</v>
      </c>
      <c r="B271" t="s">
        <v>575</v>
      </c>
      <c r="C271" s="1">
        <v>41960</v>
      </c>
      <c r="D271" t="s">
        <v>93</v>
      </c>
      <c r="E271" t="s">
        <v>511</v>
      </c>
      <c r="F271" t="s">
        <v>576</v>
      </c>
      <c r="G271" t="s">
        <v>442</v>
      </c>
      <c r="H271">
        <v>970</v>
      </c>
      <c r="I271">
        <v>2</v>
      </c>
      <c r="K271">
        <v>1813.08</v>
      </c>
      <c r="L271">
        <v>7.0000000000000007E-2</v>
      </c>
      <c r="M271">
        <f t="shared" si="4"/>
        <v>1940</v>
      </c>
      <c r="N271" t="b">
        <v>1</v>
      </c>
      <c r="O271">
        <v>421.32</v>
      </c>
      <c r="P271">
        <v>421.32</v>
      </c>
      <c r="Q271">
        <v>6440</v>
      </c>
      <c r="R271">
        <v>6440</v>
      </c>
    </row>
    <row r="272" spans="1:18" x14ac:dyDescent="0.25">
      <c r="A272" t="s">
        <v>577</v>
      </c>
      <c r="B272" t="s">
        <v>575</v>
      </c>
      <c r="C272" s="1">
        <v>41960</v>
      </c>
      <c r="D272" t="s">
        <v>93</v>
      </c>
      <c r="E272" t="s">
        <v>511</v>
      </c>
      <c r="F272" t="s">
        <v>576</v>
      </c>
      <c r="G272" t="s">
        <v>444</v>
      </c>
      <c r="H272">
        <v>970</v>
      </c>
      <c r="I272">
        <v>2</v>
      </c>
      <c r="K272">
        <v>1813.08</v>
      </c>
      <c r="L272">
        <v>7.0000000000000007E-2</v>
      </c>
      <c r="M272">
        <f t="shared" si="4"/>
        <v>1940</v>
      </c>
      <c r="N272" t="b">
        <v>1</v>
      </c>
      <c r="O272">
        <v>421.32</v>
      </c>
      <c r="P272">
        <v>421.32</v>
      </c>
      <c r="Q272">
        <v>6440</v>
      </c>
      <c r="R272">
        <v>6440</v>
      </c>
    </row>
    <row r="273" spans="1:18" x14ac:dyDescent="0.25">
      <c r="A273" t="s">
        <v>578</v>
      </c>
      <c r="B273" t="s">
        <v>575</v>
      </c>
      <c r="C273" s="1">
        <v>41960</v>
      </c>
      <c r="D273" t="s">
        <v>93</v>
      </c>
      <c r="E273" t="s">
        <v>511</v>
      </c>
      <c r="F273" t="s">
        <v>576</v>
      </c>
      <c r="G273" t="s">
        <v>446</v>
      </c>
      <c r="H273">
        <v>970</v>
      </c>
      <c r="I273">
        <v>2</v>
      </c>
      <c r="K273">
        <v>1813.08</v>
      </c>
      <c r="L273">
        <v>7.0000000000000007E-2</v>
      </c>
      <c r="M273">
        <f t="shared" si="4"/>
        <v>1940</v>
      </c>
      <c r="N273" t="b">
        <v>1</v>
      </c>
      <c r="O273">
        <v>421.32</v>
      </c>
      <c r="P273">
        <v>421.32</v>
      </c>
      <c r="Q273">
        <v>6440</v>
      </c>
      <c r="R273">
        <v>6440</v>
      </c>
    </row>
    <row r="274" spans="1:18" x14ac:dyDescent="0.25">
      <c r="A274" t="s">
        <v>579</v>
      </c>
      <c r="B274" t="s">
        <v>575</v>
      </c>
      <c r="C274" s="1">
        <v>41960</v>
      </c>
      <c r="D274" t="s">
        <v>93</v>
      </c>
      <c r="E274" t="s">
        <v>511</v>
      </c>
      <c r="F274" t="s">
        <v>576</v>
      </c>
      <c r="G274" t="s">
        <v>534</v>
      </c>
      <c r="H274">
        <v>372</v>
      </c>
      <c r="I274">
        <v>2</v>
      </c>
      <c r="J274">
        <v>62</v>
      </c>
      <c r="K274">
        <v>579.44000000000005</v>
      </c>
      <c r="L274">
        <v>7.0000000000000007E-2</v>
      </c>
      <c r="M274">
        <f t="shared" si="4"/>
        <v>620</v>
      </c>
      <c r="N274" t="b">
        <v>1</v>
      </c>
      <c r="O274">
        <v>421.32</v>
      </c>
      <c r="P274">
        <v>421.32</v>
      </c>
      <c r="Q274">
        <v>6440</v>
      </c>
      <c r="R274">
        <v>6440</v>
      </c>
    </row>
    <row r="275" spans="1:18" x14ac:dyDescent="0.25">
      <c r="A275" t="s">
        <v>580</v>
      </c>
      <c r="B275" t="s">
        <v>581</v>
      </c>
      <c r="C275" s="1">
        <v>41960</v>
      </c>
      <c r="D275" t="s">
        <v>93</v>
      </c>
      <c r="E275" t="s">
        <v>20</v>
      </c>
      <c r="F275" t="s">
        <v>582</v>
      </c>
      <c r="G275" t="s">
        <v>514</v>
      </c>
      <c r="H275">
        <v>970</v>
      </c>
      <c r="I275">
        <v>6</v>
      </c>
      <c r="J275">
        <v>380</v>
      </c>
      <c r="K275">
        <v>3308.41</v>
      </c>
      <c r="L275">
        <v>7.0000000000000007E-2</v>
      </c>
      <c r="M275">
        <f t="shared" si="4"/>
        <v>3540</v>
      </c>
      <c r="N275" t="b">
        <v>1</v>
      </c>
      <c r="O275">
        <v>1503.36</v>
      </c>
      <c r="P275">
        <v>1503.36</v>
      </c>
      <c r="Q275">
        <v>22980</v>
      </c>
      <c r="R275">
        <v>22980</v>
      </c>
    </row>
    <row r="276" spans="1:18" x14ac:dyDescent="0.25">
      <c r="A276" t="s">
        <v>583</v>
      </c>
      <c r="B276" t="s">
        <v>581</v>
      </c>
      <c r="C276" s="1">
        <v>41960</v>
      </c>
      <c r="D276" t="s">
        <v>93</v>
      </c>
      <c r="E276" t="s">
        <v>20</v>
      </c>
      <c r="F276" t="s">
        <v>582</v>
      </c>
      <c r="G276" t="s">
        <v>470</v>
      </c>
      <c r="H276">
        <v>220</v>
      </c>
      <c r="I276">
        <v>4</v>
      </c>
      <c r="J276">
        <v>60</v>
      </c>
      <c r="K276">
        <v>598.13</v>
      </c>
      <c r="L276">
        <v>7.0000000000000007E-2</v>
      </c>
      <c r="M276">
        <f t="shared" si="4"/>
        <v>640</v>
      </c>
      <c r="N276" t="b">
        <v>1</v>
      </c>
      <c r="O276">
        <v>1503.36</v>
      </c>
      <c r="P276">
        <v>1503.36</v>
      </c>
      <c r="Q276">
        <v>22980</v>
      </c>
      <c r="R276">
        <v>22980</v>
      </c>
    </row>
    <row r="277" spans="1:18" x14ac:dyDescent="0.25">
      <c r="A277" t="s">
        <v>584</v>
      </c>
      <c r="B277" t="s">
        <v>581</v>
      </c>
      <c r="C277" s="1">
        <v>41960</v>
      </c>
      <c r="D277" t="s">
        <v>93</v>
      </c>
      <c r="E277" t="s">
        <v>20</v>
      </c>
      <c r="F277" t="s">
        <v>582</v>
      </c>
      <c r="G277" t="s">
        <v>472</v>
      </c>
      <c r="H277">
        <v>80</v>
      </c>
      <c r="I277">
        <v>6</v>
      </c>
      <c r="J277">
        <v>15</v>
      </c>
      <c r="K277">
        <v>364.49</v>
      </c>
      <c r="L277">
        <v>7.0000000000000007E-2</v>
      </c>
      <c r="M277">
        <f t="shared" si="4"/>
        <v>390</v>
      </c>
      <c r="N277" t="b">
        <v>1</v>
      </c>
      <c r="O277">
        <v>1503.36</v>
      </c>
      <c r="P277">
        <v>1503.36</v>
      </c>
      <c r="Q277">
        <v>22980</v>
      </c>
      <c r="R277">
        <v>22980</v>
      </c>
    </row>
    <row r="278" spans="1:18" x14ac:dyDescent="0.25">
      <c r="A278" t="s">
        <v>585</v>
      </c>
      <c r="B278" t="s">
        <v>581</v>
      </c>
      <c r="C278" s="1">
        <v>41960</v>
      </c>
      <c r="D278" t="s">
        <v>93</v>
      </c>
      <c r="E278" t="s">
        <v>20</v>
      </c>
      <c r="F278" t="s">
        <v>582</v>
      </c>
      <c r="G278" t="s">
        <v>474</v>
      </c>
      <c r="H278">
        <v>80</v>
      </c>
      <c r="I278">
        <v>4</v>
      </c>
      <c r="J278">
        <v>15</v>
      </c>
      <c r="K278">
        <v>242.99</v>
      </c>
      <c r="L278">
        <v>7.0000000000000007E-2</v>
      </c>
      <c r="M278">
        <f t="shared" si="4"/>
        <v>260</v>
      </c>
      <c r="N278" t="b">
        <v>1</v>
      </c>
      <c r="O278">
        <v>1503.36</v>
      </c>
      <c r="P278">
        <v>1503.36</v>
      </c>
      <c r="Q278">
        <v>22980</v>
      </c>
      <c r="R278">
        <v>22980</v>
      </c>
    </row>
    <row r="279" spans="1:18" x14ac:dyDescent="0.25">
      <c r="A279" t="s">
        <v>586</v>
      </c>
      <c r="B279" t="s">
        <v>581</v>
      </c>
      <c r="C279" s="1">
        <v>41960</v>
      </c>
      <c r="D279" t="s">
        <v>93</v>
      </c>
      <c r="E279" t="s">
        <v>20</v>
      </c>
      <c r="F279" t="s">
        <v>582</v>
      </c>
      <c r="G279" t="s">
        <v>474</v>
      </c>
      <c r="H279">
        <v>80</v>
      </c>
      <c r="I279">
        <v>2</v>
      </c>
      <c r="J279">
        <v>80</v>
      </c>
      <c r="L279">
        <v>7.0000000000000007E-2</v>
      </c>
      <c r="M279">
        <f t="shared" si="4"/>
        <v>0</v>
      </c>
      <c r="N279" t="b">
        <v>1</v>
      </c>
      <c r="O279">
        <v>1503.36</v>
      </c>
      <c r="P279">
        <v>1503.36</v>
      </c>
      <c r="Q279">
        <v>22980</v>
      </c>
      <c r="R279">
        <v>22980</v>
      </c>
    </row>
    <row r="280" spans="1:18" x14ac:dyDescent="0.25">
      <c r="A280" t="s">
        <v>587</v>
      </c>
      <c r="B280" t="s">
        <v>581</v>
      </c>
      <c r="C280" s="1">
        <v>41960</v>
      </c>
      <c r="D280" t="s">
        <v>93</v>
      </c>
      <c r="E280" t="s">
        <v>20</v>
      </c>
      <c r="F280" t="s">
        <v>582</v>
      </c>
      <c r="G280" t="s">
        <v>387</v>
      </c>
      <c r="H280">
        <v>1740</v>
      </c>
      <c r="I280">
        <v>4</v>
      </c>
      <c r="J280">
        <v>390</v>
      </c>
      <c r="K280">
        <v>5046.7299999999996</v>
      </c>
      <c r="L280">
        <v>7.0000000000000007E-2</v>
      </c>
      <c r="M280">
        <f t="shared" si="4"/>
        <v>5400</v>
      </c>
      <c r="N280" t="b">
        <v>1</v>
      </c>
      <c r="O280">
        <v>1503.36</v>
      </c>
      <c r="P280">
        <v>1503.36</v>
      </c>
      <c r="Q280">
        <v>22980</v>
      </c>
      <c r="R280">
        <v>22980</v>
      </c>
    </row>
    <row r="281" spans="1:18" x14ac:dyDescent="0.25">
      <c r="A281" t="s">
        <v>588</v>
      </c>
      <c r="B281" t="s">
        <v>581</v>
      </c>
      <c r="C281" s="1">
        <v>41960</v>
      </c>
      <c r="D281" t="s">
        <v>93</v>
      </c>
      <c r="E281" t="s">
        <v>20</v>
      </c>
      <c r="F281" t="s">
        <v>582</v>
      </c>
      <c r="G281" t="s">
        <v>362</v>
      </c>
      <c r="H281">
        <v>1740</v>
      </c>
      <c r="I281">
        <v>2</v>
      </c>
      <c r="J281">
        <v>390</v>
      </c>
      <c r="K281">
        <v>2523.36</v>
      </c>
      <c r="L281">
        <v>7.0000000000000007E-2</v>
      </c>
      <c r="M281">
        <f t="shared" si="4"/>
        <v>2700</v>
      </c>
      <c r="N281" t="b">
        <v>1</v>
      </c>
      <c r="O281">
        <v>1503.36</v>
      </c>
      <c r="P281">
        <v>1503.36</v>
      </c>
      <c r="Q281">
        <v>22980</v>
      </c>
      <c r="R281">
        <v>22980</v>
      </c>
    </row>
    <row r="282" spans="1:18" x14ac:dyDescent="0.25">
      <c r="A282" t="s">
        <v>589</v>
      </c>
      <c r="B282" t="s">
        <v>581</v>
      </c>
      <c r="C282" s="1">
        <v>41960</v>
      </c>
      <c r="D282" t="s">
        <v>93</v>
      </c>
      <c r="E282" t="s">
        <v>20</v>
      </c>
      <c r="F282" t="s">
        <v>582</v>
      </c>
      <c r="G282" t="s">
        <v>352</v>
      </c>
      <c r="H282">
        <v>1600</v>
      </c>
      <c r="I282">
        <v>4</v>
      </c>
      <c r="J282">
        <v>700</v>
      </c>
      <c r="K282">
        <v>3364.49</v>
      </c>
      <c r="L282">
        <v>7.0000000000000007E-2</v>
      </c>
      <c r="M282">
        <f t="shared" si="4"/>
        <v>3600</v>
      </c>
      <c r="N282" t="b">
        <v>1</v>
      </c>
      <c r="O282">
        <v>1503.36</v>
      </c>
      <c r="P282">
        <v>1503.36</v>
      </c>
      <c r="Q282">
        <v>22980</v>
      </c>
      <c r="R282">
        <v>22980</v>
      </c>
    </row>
    <row r="283" spans="1:18" x14ac:dyDescent="0.25">
      <c r="A283" t="s">
        <v>590</v>
      </c>
      <c r="B283" t="s">
        <v>581</v>
      </c>
      <c r="C283" s="1">
        <v>41960</v>
      </c>
      <c r="D283" t="s">
        <v>93</v>
      </c>
      <c r="E283" t="s">
        <v>20</v>
      </c>
      <c r="F283" t="s">
        <v>582</v>
      </c>
      <c r="G283" t="s">
        <v>358</v>
      </c>
      <c r="H283">
        <v>1390</v>
      </c>
      <c r="I283">
        <v>3</v>
      </c>
      <c r="J283">
        <v>315</v>
      </c>
      <c r="K283">
        <v>3014.02</v>
      </c>
      <c r="L283">
        <v>7.0000000000000007E-2</v>
      </c>
      <c r="M283">
        <f t="shared" si="4"/>
        <v>3225</v>
      </c>
      <c r="N283" t="b">
        <v>1</v>
      </c>
      <c r="O283">
        <v>1503.36</v>
      </c>
      <c r="P283">
        <v>1503.36</v>
      </c>
      <c r="Q283">
        <v>22980</v>
      </c>
      <c r="R283">
        <v>22980</v>
      </c>
    </row>
    <row r="284" spans="1:18" x14ac:dyDescent="0.25">
      <c r="A284" t="s">
        <v>591</v>
      </c>
      <c r="B284" t="s">
        <v>581</v>
      </c>
      <c r="C284" s="1">
        <v>41960</v>
      </c>
      <c r="D284" t="s">
        <v>93</v>
      </c>
      <c r="E284" t="s">
        <v>20</v>
      </c>
      <c r="F284" t="s">
        <v>582</v>
      </c>
      <c r="G284" t="s">
        <v>360</v>
      </c>
      <c r="H284">
        <v>1390</v>
      </c>
      <c r="I284">
        <v>3</v>
      </c>
      <c r="J284">
        <v>315</v>
      </c>
      <c r="K284">
        <v>3014.02</v>
      </c>
      <c r="L284">
        <v>7.0000000000000007E-2</v>
      </c>
      <c r="M284">
        <f t="shared" si="4"/>
        <v>3225</v>
      </c>
      <c r="N284" t="b">
        <v>1</v>
      </c>
      <c r="O284">
        <v>1503.36</v>
      </c>
      <c r="P284">
        <v>1503.36</v>
      </c>
      <c r="Q284">
        <v>22980</v>
      </c>
      <c r="R284">
        <v>22980</v>
      </c>
    </row>
    <row r="285" spans="1:18" x14ac:dyDescent="0.25">
      <c r="A285" t="s">
        <v>592</v>
      </c>
      <c r="B285" t="s">
        <v>581</v>
      </c>
      <c r="C285" s="1">
        <v>41960</v>
      </c>
      <c r="D285" t="s">
        <v>93</v>
      </c>
      <c r="E285" t="s">
        <v>20</v>
      </c>
      <c r="F285" t="s">
        <v>582</v>
      </c>
      <c r="G285" t="s">
        <v>338</v>
      </c>
      <c r="H285">
        <v>1040</v>
      </c>
      <c r="I285">
        <v>1</v>
      </c>
      <c r="J285">
        <v>1040</v>
      </c>
      <c r="L285">
        <v>7.0000000000000007E-2</v>
      </c>
      <c r="M285">
        <f t="shared" si="4"/>
        <v>0</v>
      </c>
      <c r="N285" t="b">
        <v>1</v>
      </c>
      <c r="O285">
        <v>1503.36</v>
      </c>
      <c r="P285">
        <v>1503.36</v>
      </c>
      <c r="Q285">
        <v>22980</v>
      </c>
      <c r="R285">
        <v>22980</v>
      </c>
    </row>
    <row r="286" spans="1:18" x14ac:dyDescent="0.25">
      <c r="A286" t="s">
        <v>593</v>
      </c>
      <c r="B286" t="s">
        <v>594</v>
      </c>
      <c r="C286" s="1">
        <v>41960</v>
      </c>
      <c r="D286" t="s">
        <v>19</v>
      </c>
      <c r="E286" t="s">
        <v>20</v>
      </c>
      <c r="F286" t="s">
        <v>595</v>
      </c>
      <c r="G286" t="s">
        <v>521</v>
      </c>
      <c r="H286">
        <v>169</v>
      </c>
      <c r="I286">
        <v>1</v>
      </c>
      <c r="J286">
        <v>-121</v>
      </c>
      <c r="K286">
        <v>271.02999999999997</v>
      </c>
      <c r="L286">
        <v>7.0000000000000007E-2</v>
      </c>
      <c r="M286">
        <f t="shared" si="4"/>
        <v>290</v>
      </c>
      <c r="O286">
        <v>18.97</v>
      </c>
      <c r="P286">
        <v>18.97</v>
      </c>
      <c r="Q286">
        <v>290</v>
      </c>
      <c r="R286">
        <v>290</v>
      </c>
    </row>
    <row r="287" spans="1:18" x14ac:dyDescent="0.25">
      <c r="A287" t="s">
        <v>596</v>
      </c>
      <c r="B287" t="s">
        <v>597</v>
      </c>
      <c r="C287" s="1">
        <v>41960</v>
      </c>
      <c r="D287" t="s">
        <v>93</v>
      </c>
      <c r="E287" t="s">
        <v>20</v>
      </c>
      <c r="F287" t="s">
        <v>598</v>
      </c>
      <c r="G287" t="s">
        <v>599</v>
      </c>
      <c r="H287">
        <v>650</v>
      </c>
      <c r="I287">
        <v>1</v>
      </c>
      <c r="K287">
        <v>607.48</v>
      </c>
      <c r="L287">
        <v>7.0000000000000007E-2</v>
      </c>
      <c r="M287">
        <f t="shared" si="4"/>
        <v>650</v>
      </c>
      <c r="N287" t="b">
        <v>1</v>
      </c>
      <c r="O287">
        <v>55.1</v>
      </c>
      <c r="P287">
        <v>55.1</v>
      </c>
      <c r="Q287">
        <v>842.29</v>
      </c>
      <c r="R287">
        <v>842.29</v>
      </c>
    </row>
    <row r="288" spans="1:18" x14ac:dyDescent="0.25">
      <c r="A288" t="s">
        <v>600</v>
      </c>
      <c r="B288" t="s">
        <v>597</v>
      </c>
      <c r="C288" s="1">
        <v>41960</v>
      </c>
      <c r="D288" t="s">
        <v>93</v>
      </c>
      <c r="E288" t="s">
        <v>20</v>
      </c>
      <c r="F288" t="s">
        <v>598</v>
      </c>
      <c r="G288" t="s">
        <v>470</v>
      </c>
      <c r="H288">
        <v>320</v>
      </c>
      <c r="I288">
        <v>1</v>
      </c>
      <c r="J288">
        <v>127.71</v>
      </c>
      <c r="K288">
        <v>179.71</v>
      </c>
      <c r="L288">
        <v>7.0000000000000007E-2</v>
      </c>
      <c r="M288">
        <f t="shared" si="4"/>
        <v>192.3</v>
      </c>
      <c r="N288" t="b">
        <v>1</v>
      </c>
      <c r="O288">
        <v>55.1</v>
      </c>
      <c r="P288">
        <v>55.1</v>
      </c>
      <c r="Q288">
        <v>842.29</v>
      </c>
      <c r="R288">
        <v>842.29</v>
      </c>
    </row>
    <row r="289" spans="1:18" x14ac:dyDescent="0.25">
      <c r="A289" t="s">
        <v>601</v>
      </c>
      <c r="B289" t="s">
        <v>602</v>
      </c>
      <c r="C289" s="1">
        <v>41960</v>
      </c>
      <c r="D289" t="s">
        <v>93</v>
      </c>
      <c r="E289" t="s">
        <v>20</v>
      </c>
      <c r="F289" t="s">
        <v>603</v>
      </c>
      <c r="G289" t="s">
        <v>330</v>
      </c>
      <c r="H289">
        <v>100</v>
      </c>
      <c r="I289">
        <v>24</v>
      </c>
      <c r="J289">
        <v>2.67</v>
      </c>
      <c r="K289">
        <v>2183.1</v>
      </c>
      <c r="L289">
        <v>7.0000000000000007E-2</v>
      </c>
      <c r="M289">
        <f t="shared" si="4"/>
        <v>2335.9</v>
      </c>
      <c r="N289" t="b">
        <v>1</v>
      </c>
      <c r="O289">
        <v>152.82</v>
      </c>
      <c r="P289">
        <v>152.82</v>
      </c>
      <c r="Q289">
        <v>2335.92</v>
      </c>
      <c r="R289">
        <v>2335.92</v>
      </c>
    </row>
    <row r="290" spans="1:18" x14ac:dyDescent="0.25">
      <c r="A290" t="s">
        <v>604</v>
      </c>
      <c r="B290" t="s">
        <v>605</v>
      </c>
      <c r="C290" s="1">
        <v>41957</v>
      </c>
      <c r="D290" t="s">
        <v>93</v>
      </c>
      <c r="E290" t="s">
        <v>20</v>
      </c>
      <c r="F290" t="s">
        <v>30</v>
      </c>
      <c r="G290" t="s">
        <v>380</v>
      </c>
      <c r="H290">
        <v>1600</v>
      </c>
      <c r="I290">
        <v>2</v>
      </c>
      <c r="J290">
        <v>600</v>
      </c>
      <c r="K290">
        <v>1869.16</v>
      </c>
      <c r="L290">
        <v>7.0000000000000007E-2</v>
      </c>
      <c r="M290">
        <f t="shared" si="4"/>
        <v>2000</v>
      </c>
      <c r="N290" t="b">
        <v>1</v>
      </c>
      <c r="O290">
        <v>261.68</v>
      </c>
      <c r="P290">
        <v>261.68</v>
      </c>
      <c r="Q290">
        <v>4000</v>
      </c>
      <c r="R290">
        <v>4000</v>
      </c>
    </row>
    <row r="291" spans="1:18" x14ac:dyDescent="0.25">
      <c r="A291" t="s">
        <v>606</v>
      </c>
      <c r="B291" t="s">
        <v>605</v>
      </c>
      <c r="C291" s="1">
        <v>41957</v>
      </c>
      <c r="D291" t="s">
        <v>93</v>
      </c>
      <c r="E291" t="s">
        <v>20</v>
      </c>
      <c r="F291" t="s">
        <v>30</v>
      </c>
      <c r="G291" t="s">
        <v>352</v>
      </c>
      <c r="H291">
        <v>1600</v>
      </c>
      <c r="I291">
        <v>2</v>
      </c>
      <c r="J291">
        <v>600</v>
      </c>
      <c r="K291">
        <v>1869.16</v>
      </c>
      <c r="L291">
        <v>7.0000000000000007E-2</v>
      </c>
      <c r="M291">
        <f t="shared" si="4"/>
        <v>2000</v>
      </c>
      <c r="N291" t="b">
        <v>1</v>
      </c>
      <c r="O291">
        <v>261.68</v>
      </c>
      <c r="P291">
        <v>261.68</v>
      </c>
      <c r="Q291">
        <v>4000</v>
      </c>
      <c r="R291">
        <v>4000</v>
      </c>
    </row>
    <row r="292" spans="1:18" x14ac:dyDescent="0.25">
      <c r="A292" t="s">
        <v>607</v>
      </c>
      <c r="B292" t="s">
        <v>608</v>
      </c>
      <c r="C292" s="1">
        <v>41957</v>
      </c>
      <c r="D292" t="s">
        <v>93</v>
      </c>
      <c r="E292" t="s">
        <v>20</v>
      </c>
      <c r="F292" t="s">
        <v>21</v>
      </c>
      <c r="G292" t="s">
        <v>346</v>
      </c>
      <c r="H292">
        <v>1090</v>
      </c>
      <c r="I292">
        <v>1</v>
      </c>
      <c r="J292">
        <v>220</v>
      </c>
      <c r="K292">
        <v>813.08</v>
      </c>
      <c r="L292">
        <v>7.0000000000000007E-2</v>
      </c>
      <c r="M292">
        <f t="shared" si="4"/>
        <v>870</v>
      </c>
      <c r="N292" t="b">
        <v>1</v>
      </c>
      <c r="O292">
        <v>56.92</v>
      </c>
      <c r="P292">
        <v>56.92</v>
      </c>
      <c r="Q292">
        <v>870</v>
      </c>
      <c r="R292">
        <v>870</v>
      </c>
    </row>
    <row r="293" spans="1:18" x14ac:dyDescent="0.25">
      <c r="A293" t="s">
        <v>609</v>
      </c>
      <c r="B293" t="s">
        <v>610</v>
      </c>
      <c r="C293" s="1">
        <v>41957</v>
      </c>
      <c r="D293" t="s">
        <v>93</v>
      </c>
      <c r="E293" t="s">
        <v>20</v>
      </c>
      <c r="F293" t="s">
        <v>611</v>
      </c>
      <c r="G293" t="s">
        <v>387</v>
      </c>
      <c r="H293">
        <v>1740</v>
      </c>
      <c r="I293">
        <v>2</v>
      </c>
      <c r="J293">
        <v>340</v>
      </c>
      <c r="K293">
        <v>2616.8200000000002</v>
      </c>
      <c r="L293">
        <v>7.0000000000000007E-2</v>
      </c>
      <c r="M293">
        <f t="shared" si="4"/>
        <v>2800</v>
      </c>
      <c r="N293" t="b">
        <v>1</v>
      </c>
      <c r="O293">
        <v>408.23</v>
      </c>
      <c r="P293">
        <v>408.23</v>
      </c>
      <c r="Q293">
        <v>6240</v>
      </c>
      <c r="R293">
        <v>6240</v>
      </c>
    </row>
    <row r="294" spans="1:18" x14ac:dyDescent="0.25">
      <c r="A294" t="s">
        <v>612</v>
      </c>
      <c r="B294" t="s">
        <v>610</v>
      </c>
      <c r="C294" s="1">
        <v>41957</v>
      </c>
      <c r="D294" t="s">
        <v>93</v>
      </c>
      <c r="E294" t="s">
        <v>20</v>
      </c>
      <c r="F294" t="s">
        <v>611</v>
      </c>
      <c r="G294" t="s">
        <v>362</v>
      </c>
      <c r="H294">
        <v>1740</v>
      </c>
      <c r="I294">
        <v>2</v>
      </c>
      <c r="J294">
        <v>340</v>
      </c>
      <c r="K294">
        <v>2616.8200000000002</v>
      </c>
      <c r="L294">
        <v>7.0000000000000007E-2</v>
      </c>
      <c r="M294">
        <f t="shared" si="4"/>
        <v>2800</v>
      </c>
      <c r="N294" t="b">
        <v>1</v>
      </c>
      <c r="O294">
        <v>408.23</v>
      </c>
      <c r="P294">
        <v>408.23</v>
      </c>
      <c r="Q294">
        <v>6240</v>
      </c>
      <c r="R294">
        <v>6240</v>
      </c>
    </row>
    <row r="295" spans="1:18" x14ac:dyDescent="0.25">
      <c r="A295" t="s">
        <v>613</v>
      </c>
      <c r="B295" t="s">
        <v>610</v>
      </c>
      <c r="C295" s="1">
        <v>41957</v>
      </c>
      <c r="D295" t="s">
        <v>93</v>
      </c>
      <c r="E295" t="s">
        <v>20</v>
      </c>
      <c r="F295" t="s">
        <v>611</v>
      </c>
      <c r="G295" t="s">
        <v>470</v>
      </c>
      <c r="H295">
        <v>220</v>
      </c>
      <c r="I295">
        <v>4</v>
      </c>
      <c r="J295">
        <v>60</v>
      </c>
      <c r="K295">
        <v>598.13</v>
      </c>
      <c r="L295">
        <v>7.0000000000000007E-2</v>
      </c>
      <c r="M295">
        <f t="shared" si="4"/>
        <v>640</v>
      </c>
      <c r="N295" t="b">
        <v>1</v>
      </c>
      <c r="O295">
        <v>408.23</v>
      </c>
      <c r="P295">
        <v>408.23</v>
      </c>
      <c r="Q295">
        <v>6240</v>
      </c>
      <c r="R295">
        <v>6240</v>
      </c>
    </row>
    <row r="296" spans="1:18" x14ac:dyDescent="0.25">
      <c r="A296" t="s">
        <v>614</v>
      </c>
      <c r="B296" t="s">
        <v>615</v>
      </c>
      <c r="C296" s="1">
        <v>41957</v>
      </c>
      <c r="D296" t="s">
        <v>93</v>
      </c>
      <c r="E296" t="s">
        <v>511</v>
      </c>
      <c r="F296" t="s">
        <v>616</v>
      </c>
      <c r="G296" t="s">
        <v>442</v>
      </c>
      <c r="H296">
        <v>1320</v>
      </c>
      <c r="I296">
        <v>1</v>
      </c>
      <c r="J296">
        <v>245.23</v>
      </c>
      <c r="K296">
        <v>1004.46</v>
      </c>
      <c r="L296">
        <v>7.0000000000000007E-2</v>
      </c>
      <c r="M296">
        <f t="shared" si="4"/>
        <v>1074.8</v>
      </c>
      <c r="N296" t="b">
        <v>1</v>
      </c>
      <c r="O296">
        <v>210.93</v>
      </c>
      <c r="P296">
        <v>210.93</v>
      </c>
      <c r="Q296">
        <v>3224.31</v>
      </c>
      <c r="R296">
        <v>3224.31</v>
      </c>
    </row>
    <row r="297" spans="1:18" x14ac:dyDescent="0.25">
      <c r="A297" t="s">
        <v>617</v>
      </c>
      <c r="B297" t="s">
        <v>615</v>
      </c>
      <c r="C297" s="1">
        <v>41957</v>
      </c>
      <c r="D297" t="s">
        <v>93</v>
      </c>
      <c r="E297" t="s">
        <v>511</v>
      </c>
      <c r="F297" t="s">
        <v>616</v>
      </c>
      <c r="G297" t="s">
        <v>444</v>
      </c>
      <c r="H297">
        <v>1320</v>
      </c>
      <c r="I297">
        <v>1</v>
      </c>
      <c r="J297">
        <v>245.23</v>
      </c>
      <c r="K297">
        <v>1004.46</v>
      </c>
      <c r="L297">
        <v>7.0000000000000007E-2</v>
      </c>
      <c r="M297">
        <f t="shared" si="4"/>
        <v>1074.8</v>
      </c>
      <c r="N297" t="b">
        <v>1</v>
      </c>
      <c r="O297">
        <v>210.93</v>
      </c>
      <c r="P297">
        <v>210.93</v>
      </c>
      <c r="Q297">
        <v>3224.31</v>
      </c>
      <c r="R297">
        <v>3224.31</v>
      </c>
    </row>
    <row r="298" spans="1:18" x14ac:dyDescent="0.25">
      <c r="A298" t="s">
        <v>618</v>
      </c>
      <c r="B298" t="s">
        <v>615</v>
      </c>
      <c r="C298" s="1">
        <v>41957</v>
      </c>
      <c r="D298" t="s">
        <v>93</v>
      </c>
      <c r="E298" t="s">
        <v>511</v>
      </c>
      <c r="F298" t="s">
        <v>616</v>
      </c>
      <c r="G298" t="s">
        <v>446</v>
      </c>
      <c r="H298">
        <v>1320</v>
      </c>
      <c r="I298">
        <v>1</v>
      </c>
      <c r="J298">
        <v>245.23</v>
      </c>
      <c r="K298">
        <v>1004.46</v>
      </c>
      <c r="L298">
        <v>7.0000000000000007E-2</v>
      </c>
      <c r="M298">
        <f t="shared" si="4"/>
        <v>1074.8</v>
      </c>
      <c r="N298" t="b">
        <v>1</v>
      </c>
      <c r="O298">
        <v>210.93</v>
      </c>
      <c r="P298">
        <v>210.93</v>
      </c>
      <c r="Q298">
        <v>3224.31</v>
      </c>
      <c r="R298">
        <v>3224.31</v>
      </c>
    </row>
    <row r="299" spans="1:18" x14ac:dyDescent="0.25">
      <c r="A299" t="s">
        <v>619</v>
      </c>
      <c r="B299" t="s">
        <v>620</v>
      </c>
      <c r="C299" s="1">
        <v>41957</v>
      </c>
      <c r="D299" t="s">
        <v>93</v>
      </c>
      <c r="E299" t="s">
        <v>20</v>
      </c>
      <c r="F299" t="s">
        <v>621</v>
      </c>
      <c r="G299" t="s">
        <v>622</v>
      </c>
      <c r="H299">
        <v>1290</v>
      </c>
      <c r="I299">
        <v>4</v>
      </c>
      <c r="J299">
        <v>490</v>
      </c>
      <c r="K299">
        <v>2990.65</v>
      </c>
      <c r="L299">
        <v>7.0000000000000007E-2</v>
      </c>
      <c r="M299">
        <f t="shared" si="4"/>
        <v>3200</v>
      </c>
      <c r="N299" t="b">
        <v>1</v>
      </c>
      <c r="O299">
        <v>679.73</v>
      </c>
      <c r="P299">
        <v>679.73</v>
      </c>
      <c r="Q299">
        <v>10390</v>
      </c>
      <c r="R299">
        <v>10390</v>
      </c>
    </row>
    <row r="300" spans="1:18" x14ac:dyDescent="0.25">
      <c r="A300" t="s">
        <v>623</v>
      </c>
      <c r="B300" t="s">
        <v>620</v>
      </c>
      <c r="C300" s="1">
        <v>41957</v>
      </c>
      <c r="D300" t="s">
        <v>93</v>
      </c>
      <c r="E300" t="s">
        <v>20</v>
      </c>
      <c r="F300" t="s">
        <v>621</v>
      </c>
      <c r="G300" t="s">
        <v>444</v>
      </c>
      <c r="H300">
        <v>1890</v>
      </c>
      <c r="I300">
        <v>1</v>
      </c>
      <c r="J300">
        <v>920</v>
      </c>
      <c r="K300">
        <v>906.54</v>
      </c>
      <c r="L300">
        <v>7.0000000000000007E-2</v>
      </c>
      <c r="M300">
        <f t="shared" si="4"/>
        <v>970</v>
      </c>
      <c r="N300" t="b">
        <v>1</v>
      </c>
      <c r="O300">
        <v>679.73</v>
      </c>
      <c r="P300">
        <v>679.73</v>
      </c>
      <c r="Q300">
        <v>10390</v>
      </c>
      <c r="R300">
        <v>10390</v>
      </c>
    </row>
    <row r="301" spans="1:18" x14ac:dyDescent="0.25">
      <c r="A301" t="s">
        <v>624</v>
      </c>
      <c r="B301" t="s">
        <v>620</v>
      </c>
      <c r="C301" s="1">
        <v>41957</v>
      </c>
      <c r="D301" t="s">
        <v>93</v>
      </c>
      <c r="E301" t="s">
        <v>20</v>
      </c>
      <c r="F301" t="s">
        <v>621</v>
      </c>
      <c r="G301" t="s">
        <v>446</v>
      </c>
      <c r="H301">
        <v>1890</v>
      </c>
      <c r="I301">
        <v>1</v>
      </c>
      <c r="J301">
        <v>920</v>
      </c>
      <c r="K301">
        <v>906.54</v>
      </c>
      <c r="L301">
        <v>7.0000000000000007E-2</v>
      </c>
      <c r="M301">
        <f t="shared" si="4"/>
        <v>970</v>
      </c>
      <c r="N301" t="b">
        <v>1</v>
      </c>
      <c r="O301">
        <v>679.73</v>
      </c>
      <c r="P301">
        <v>679.73</v>
      </c>
      <c r="Q301">
        <v>10390</v>
      </c>
      <c r="R301">
        <v>10390</v>
      </c>
    </row>
    <row r="302" spans="1:18" x14ac:dyDescent="0.25">
      <c r="A302" t="s">
        <v>625</v>
      </c>
      <c r="B302" t="s">
        <v>620</v>
      </c>
      <c r="C302" s="1">
        <v>41957</v>
      </c>
      <c r="D302" t="s">
        <v>93</v>
      </c>
      <c r="E302" t="s">
        <v>20</v>
      </c>
      <c r="F302" t="s">
        <v>621</v>
      </c>
      <c r="G302" t="s">
        <v>626</v>
      </c>
      <c r="H302">
        <v>1690</v>
      </c>
      <c r="I302">
        <v>2</v>
      </c>
      <c r="J302">
        <v>790</v>
      </c>
      <c r="K302">
        <v>1682.24</v>
      </c>
      <c r="L302">
        <v>7.0000000000000007E-2</v>
      </c>
      <c r="M302">
        <f t="shared" si="4"/>
        <v>1800</v>
      </c>
      <c r="N302" t="b">
        <v>1</v>
      </c>
      <c r="O302">
        <v>679.73</v>
      </c>
      <c r="P302">
        <v>679.73</v>
      </c>
      <c r="Q302">
        <v>10390</v>
      </c>
      <c r="R302">
        <v>10390</v>
      </c>
    </row>
    <row r="303" spans="1:18" x14ac:dyDescent="0.25">
      <c r="A303" t="s">
        <v>627</v>
      </c>
      <c r="B303" t="s">
        <v>620</v>
      </c>
      <c r="C303" s="1">
        <v>41957</v>
      </c>
      <c r="D303" t="s">
        <v>93</v>
      </c>
      <c r="E303" t="s">
        <v>20</v>
      </c>
      <c r="F303" t="s">
        <v>621</v>
      </c>
      <c r="G303" t="s">
        <v>358</v>
      </c>
      <c r="H303">
        <v>1990</v>
      </c>
      <c r="I303">
        <v>2</v>
      </c>
      <c r="J303">
        <v>840</v>
      </c>
      <c r="K303">
        <v>2149.5300000000002</v>
      </c>
      <c r="L303">
        <v>7.0000000000000007E-2</v>
      </c>
      <c r="M303">
        <f t="shared" si="4"/>
        <v>2300</v>
      </c>
      <c r="N303" t="b">
        <v>1</v>
      </c>
      <c r="O303">
        <v>679.73</v>
      </c>
      <c r="P303">
        <v>679.73</v>
      </c>
      <c r="Q303">
        <v>10390</v>
      </c>
      <c r="R303">
        <v>10390</v>
      </c>
    </row>
    <row r="304" spans="1:18" x14ac:dyDescent="0.25">
      <c r="A304" t="s">
        <v>628</v>
      </c>
      <c r="B304" t="s">
        <v>620</v>
      </c>
      <c r="C304" s="1">
        <v>41957</v>
      </c>
      <c r="D304" t="s">
        <v>93</v>
      </c>
      <c r="E304" t="s">
        <v>20</v>
      </c>
      <c r="F304" t="s">
        <v>621</v>
      </c>
      <c r="G304" t="s">
        <v>360</v>
      </c>
      <c r="H304">
        <v>1990</v>
      </c>
      <c r="I304">
        <v>1</v>
      </c>
      <c r="J304">
        <v>840</v>
      </c>
      <c r="K304">
        <v>1074.77</v>
      </c>
      <c r="L304">
        <v>7.0000000000000007E-2</v>
      </c>
      <c r="M304">
        <f t="shared" si="4"/>
        <v>1150</v>
      </c>
      <c r="N304" t="b">
        <v>1</v>
      </c>
      <c r="O304">
        <v>679.73</v>
      </c>
      <c r="P304">
        <v>679.73</v>
      </c>
      <c r="Q304">
        <v>10390</v>
      </c>
      <c r="R304">
        <v>10390</v>
      </c>
    </row>
    <row r="305" spans="1:18" x14ac:dyDescent="0.25">
      <c r="A305" t="s">
        <v>629</v>
      </c>
      <c r="B305" t="s">
        <v>630</v>
      </c>
      <c r="C305" s="1">
        <v>41957</v>
      </c>
      <c r="D305" t="s">
        <v>93</v>
      </c>
      <c r="E305" t="s">
        <v>53</v>
      </c>
      <c r="F305" t="s">
        <v>631</v>
      </c>
      <c r="G305" t="s">
        <v>360</v>
      </c>
      <c r="H305">
        <v>1390</v>
      </c>
      <c r="I305">
        <v>4</v>
      </c>
      <c r="J305">
        <v>240</v>
      </c>
      <c r="K305">
        <v>4299.07</v>
      </c>
      <c r="L305">
        <v>7.0000000000000007E-2</v>
      </c>
      <c r="M305">
        <f t="shared" si="4"/>
        <v>4600</v>
      </c>
      <c r="N305" t="b">
        <v>1</v>
      </c>
      <c r="O305">
        <v>541.67999999999995</v>
      </c>
      <c r="P305">
        <v>541.67999999999995</v>
      </c>
      <c r="Q305">
        <v>8280</v>
      </c>
      <c r="R305">
        <v>8280</v>
      </c>
    </row>
    <row r="306" spans="1:18" x14ac:dyDescent="0.25">
      <c r="A306" t="s">
        <v>632</v>
      </c>
      <c r="B306" t="s">
        <v>630</v>
      </c>
      <c r="C306" s="1">
        <v>41957</v>
      </c>
      <c r="D306" t="s">
        <v>93</v>
      </c>
      <c r="E306" t="s">
        <v>53</v>
      </c>
      <c r="F306" t="s">
        <v>631</v>
      </c>
      <c r="G306" t="s">
        <v>358</v>
      </c>
      <c r="H306">
        <v>1390</v>
      </c>
      <c r="I306">
        <v>2</v>
      </c>
      <c r="J306">
        <v>240</v>
      </c>
      <c r="K306">
        <v>2149.5300000000002</v>
      </c>
      <c r="L306">
        <v>7.0000000000000007E-2</v>
      </c>
      <c r="M306">
        <f t="shared" si="4"/>
        <v>2300</v>
      </c>
      <c r="N306" t="b">
        <v>1</v>
      </c>
      <c r="O306">
        <v>541.67999999999995</v>
      </c>
      <c r="P306">
        <v>541.67999999999995</v>
      </c>
      <c r="Q306">
        <v>8280</v>
      </c>
      <c r="R306">
        <v>8280</v>
      </c>
    </row>
    <row r="307" spans="1:18" x14ac:dyDescent="0.25">
      <c r="A307" t="s">
        <v>633</v>
      </c>
      <c r="B307" t="s">
        <v>630</v>
      </c>
      <c r="C307" s="1">
        <v>41957</v>
      </c>
      <c r="D307" t="s">
        <v>93</v>
      </c>
      <c r="E307" t="s">
        <v>53</v>
      </c>
      <c r="F307" t="s">
        <v>631</v>
      </c>
      <c r="G307" t="s">
        <v>499</v>
      </c>
      <c r="H307">
        <v>340</v>
      </c>
      <c r="I307">
        <v>3</v>
      </c>
      <c r="J307">
        <v>110</v>
      </c>
      <c r="K307">
        <v>644.86</v>
      </c>
      <c r="L307">
        <v>7.0000000000000007E-2</v>
      </c>
      <c r="M307">
        <f t="shared" si="4"/>
        <v>690</v>
      </c>
      <c r="N307" t="b">
        <v>1</v>
      </c>
      <c r="O307">
        <v>541.67999999999995</v>
      </c>
      <c r="P307">
        <v>541.67999999999995</v>
      </c>
      <c r="Q307">
        <v>8280</v>
      </c>
      <c r="R307">
        <v>8280</v>
      </c>
    </row>
    <row r="308" spans="1:18" x14ac:dyDescent="0.25">
      <c r="A308" t="s">
        <v>634</v>
      </c>
      <c r="B308" t="s">
        <v>630</v>
      </c>
      <c r="C308" s="1">
        <v>41957</v>
      </c>
      <c r="D308" t="s">
        <v>93</v>
      </c>
      <c r="E308" t="s">
        <v>53</v>
      </c>
      <c r="F308" t="s">
        <v>631</v>
      </c>
      <c r="G308" t="s">
        <v>501</v>
      </c>
      <c r="H308">
        <v>340</v>
      </c>
      <c r="I308">
        <v>2</v>
      </c>
      <c r="J308">
        <v>110</v>
      </c>
      <c r="K308">
        <v>429.91</v>
      </c>
      <c r="L308">
        <v>7.0000000000000007E-2</v>
      </c>
      <c r="M308">
        <f t="shared" si="4"/>
        <v>460</v>
      </c>
      <c r="N308" t="b">
        <v>1</v>
      </c>
      <c r="O308">
        <v>541.67999999999995</v>
      </c>
      <c r="P308">
        <v>541.67999999999995</v>
      </c>
      <c r="Q308">
        <v>8280</v>
      </c>
      <c r="R308">
        <v>8280</v>
      </c>
    </row>
    <row r="309" spans="1:18" x14ac:dyDescent="0.25">
      <c r="A309" t="s">
        <v>635</v>
      </c>
      <c r="B309" t="s">
        <v>630</v>
      </c>
      <c r="C309" s="1">
        <v>41957</v>
      </c>
      <c r="D309" t="s">
        <v>93</v>
      </c>
      <c r="E309" t="s">
        <v>53</v>
      </c>
      <c r="F309" t="s">
        <v>631</v>
      </c>
      <c r="G309" t="s">
        <v>636</v>
      </c>
      <c r="H309">
        <v>340</v>
      </c>
      <c r="I309">
        <v>1</v>
      </c>
      <c r="J309">
        <v>110</v>
      </c>
      <c r="K309">
        <v>214.95</v>
      </c>
      <c r="L309">
        <v>7.0000000000000007E-2</v>
      </c>
      <c r="M309">
        <f t="shared" si="4"/>
        <v>230</v>
      </c>
      <c r="N309" t="b">
        <v>1</v>
      </c>
      <c r="O309">
        <v>541.67999999999995</v>
      </c>
      <c r="P309">
        <v>541.67999999999995</v>
      </c>
      <c r="Q309">
        <v>8280</v>
      </c>
      <c r="R309">
        <v>8280</v>
      </c>
    </row>
    <row r="310" spans="1:18" x14ac:dyDescent="0.25">
      <c r="A310" t="s">
        <v>637</v>
      </c>
      <c r="B310" t="s">
        <v>630</v>
      </c>
      <c r="C310" s="1">
        <v>41957</v>
      </c>
      <c r="D310" t="s">
        <v>93</v>
      </c>
      <c r="E310" t="s">
        <v>53</v>
      </c>
      <c r="F310" t="s">
        <v>631</v>
      </c>
      <c r="G310" t="s">
        <v>525</v>
      </c>
      <c r="I310">
        <v>1</v>
      </c>
      <c r="L310">
        <v>7.0000000000000007E-2</v>
      </c>
      <c r="M310">
        <f t="shared" si="4"/>
        <v>0</v>
      </c>
      <c r="N310" t="b">
        <v>1</v>
      </c>
      <c r="O310">
        <v>541.67999999999995</v>
      </c>
      <c r="P310">
        <v>541.67999999999995</v>
      </c>
      <c r="Q310">
        <v>8280</v>
      </c>
      <c r="R310">
        <v>8280</v>
      </c>
    </row>
    <row r="311" spans="1:18" x14ac:dyDescent="0.25">
      <c r="A311" t="s">
        <v>638</v>
      </c>
      <c r="B311" t="s">
        <v>639</v>
      </c>
      <c r="C311" s="1">
        <v>41957</v>
      </c>
      <c r="D311" t="s">
        <v>93</v>
      </c>
      <c r="E311" t="s">
        <v>53</v>
      </c>
      <c r="F311" t="s">
        <v>640</v>
      </c>
      <c r="G311" t="s">
        <v>442</v>
      </c>
      <c r="H311">
        <v>1320</v>
      </c>
      <c r="I311">
        <v>2</v>
      </c>
      <c r="J311">
        <v>350</v>
      </c>
      <c r="K311">
        <v>1813.08</v>
      </c>
      <c r="L311">
        <v>7.0000000000000007E-2</v>
      </c>
      <c r="M311">
        <f t="shared" si="4"/>
        <v>1940</v>
      </c>
      <c r="O311">
        <v>718.32</v>
      </c>
      <c r="P311">
        <v>718.32</v>
      </c>
      <c r="Q311">
        <v>10979.98</v>
      </c>
      <c r="R311">
        <v>10979.98</v>
      </c>
    </row>
    <row r="312" spans="1:18" x14ac:dyDescent="0.25">
      <c r="A312" t="s">
        <v>641</v>
      </c>
      <c r="B312" t="s">
        <v>639</v>
      </c>
      <c r="C312" s="1">
        <v>41957</v>
      </c>
      <c r="D312" t="s">
        <v>93</v>
      </c>
      <c r="E312" t="s">
        <v>53</v>
      </c>
      <c r="F312" t="s">
        <v>640</v>
      </c>
      <c r="G312" t="s">
        <v>444</v>
      </c>
      <c r="H312">
        <v>1320</v>
      </c>
      <c r="I312">
        <v>2</v>
      </c>
      <c r="J312">
        <v>350</v>
      </c>
      <c r="K312">
        <v>1813.08</v>
      </c>
      <c r="L312">
        <v>7.0000000000000007E-2</v>
      </c>
      <c r="M312">
        <f t="shared" si="4"/>
        <v>1940</v>
      </c>
      <c r="O312">
        <v>718.32</v>
      </c>
      <c r="P312">
        <v>718.32</v>
      </c>
      <c r="Q312">
        <v>10979.98</v>
      </c>
      <c r="R312">
        <v>10979.98</v>
      </c>
    </row>
    <row r="313" spans="1:18" x14ac:dyDescent="0.25">
      <c r="A313" t="s">
        <v>642</v>
      </c>
      <c r="B313" t="s">
        <v>639</v>
      </c>
      <c r="C313" s="1">
        <v>41957</v>
      </c>
      <c r="D313" t="s">
        <v>93</v>
      </c>
      <c r="E313" t="s">
        <v>53</v>
      </c>
      <c r="F313" t="s">
        <v>640</v>
      </c>
      <c r="G313" t="s">
        <v>446</v>
      </c>
      <c r="H313">
        <v>1320</v>
      </c>
      <c r="I313">
        <v>2</v>
      </c>
      <c r="J313">
        <v>350</v>
      </c>
      <c r="K313">
        <v>1813.08</v>
      </c>
      <c r="L313">
        <v>7.0000000000000007E-2</v>
      </c>
      <c r="M313">
        <f t="shared" si="4"/>
        <v>1940</v>
      </c>
      <c r="O313">
        <v>718.32</v>
      </c>
      <c r="P313">
        <v>718.32</v>
      </c>
      <c r="Q313">
        <v>10979.98</v>
      </c>
      <c r="R313">
        <v>10979.98</v>
      </c>
    </row>
    <row r="314" spans="1:18" x14ac:dyDescent="0.25">
      <c r="A314" t="s">
        <v>643</v>
      </c>
      <c r="B314" t="s">
        <v>639</v>
      </c>
      <c r="C314" s="1">
        <v>41957</v>
      </c>
      <c r="D314" t="s">
        <v>19</v>
      </c>
      <c r="E314" t="s">
        <v>53</v>
      </c>
      <c r="F314" t="s">
        <v>640</v>
      </c>
      <c r="G314" t="s">
        <v>393</v>
      </c>
      <c r="H314">
        <v>1180</v>
      </c>
      <c r="I314">
        <v>3</v>
      </c>
      <c r="J314">
        <v>320</v>
      </c>
      <c r="K314">
        <v>2411.21</v>
      </c>
      <c r="L314">
        <v>7.0000000000000007E-2</v>
      </c>
      <c r="M314">
        <f t="shared" si="4"/>
        <v>2580</v>
      </c>
      <c r="O314">
        <v>718.32</v>
      </c>
      <c r="P314">
        <v>718.32</v>
      </c>
      <c r="Q314">
        <v>10979.98</v>
      </c>
      <c r="R314">
        <v>10979.98</v>
      </c>
    </row>
    <row r="315" spans="1:18" x14ac:dyDescent="0.25">
      <c r="A315" t="s">
        <v>644</v>
      </c>
      <c r="B315" t="s">
        <v>639</v>
      </c>
      <c r="C315" s="1">
        <v>41957</v>
      </c>
      <c r="D315" t="s">
        <v>19</v>
      </c>
      <c r="E315" t="s">
        <v>53</v>
      </c>
      <c r="F315" t="s">
        <v>640</v>
      </c>
      <c r="G315" t="s">
        <v>366</v>
      </c>
      <c r="H315">
        <v>1180</v>
      </c>
      <c r="I315">
        <v>3</v>
      </c>
      <c r="J315">
        <v>320</v>
      </c>
      <c r="K315">
        <v>2411.21</v>
      </c>
      <c r="L315">
        <v>7.0000000000000007E-2</v>
      </c>
      <c r="M315">
        <f t="shared" si="4"/>
        <v>2580</v>
      </c>
      <c r="O315">
        <v>718.32</v>
      </c>
      <c r="P315">
        <v>718.32</v>
      </c>
      <c r="Q315">
        <v>10979.98</v>
      </c>
      <c r="R315">
        <v>10979.98</v>
      </c>
    </row>
    <row r="316" spans="1:18" x14ac:dyDescent="0.25">
      <c r="A316" t="s">
        <v>645</v>
      </c>
      <c r="B316" t="s">
        <v>646</v>
      </c>
      <c r="C316" s="1">
        <v>41957</v>
      </c>
      <c r="D316" t="s">
        <v>93</v>
      </c>
      <c r="E316" t="s">
        <v>20</v>
      </c>
      <c r="F316" t="s">
        <v>647</v>
      </c>
      <c r="G316" t="s">
        <v>492</v>
      </c>
      <c r="H316">
        <v>690</v>
      </c>
      <c r="I316">
        <v>2</v>
      </c>
      <c r="J316">
        <v>40</v>
      </c>
      <c r="K316">
        <v>1214.95</v>
      </c>
      <c r="L316">
        <v>7.0000000000000007E-2</v>
      </c>
      <c r="M316">
        <f t="shared" si="4"/>
        <v>1300</v>
      </c>
      <c r="N316" t="b">
        <v>1</v>
      </c>
      <c r="O316">
        <v>170.1</v>
      </c>
      <c r="P316">
        <v>170.1</v>
      </c>
      <c r="Q316">
        <v>2600</v>
      </c>
      <c r="R316">
        <v>2600</v>
      </c>
    </row>
    <row r="317" spans="1:18" x14ac:dyDescent="0.25">
      <c r="A317" t="s">
        <v>648</v>
      </c>
      <c r="B317" t="s">
        <v>646</v>
      </c>
      <c r="C317" s="1">
        <v>41957</v>
      </c>
      <c r="D317" t="s">
        <v>93</v>
      </c>
      <c r="E317" t="s">
        <v>20</v>
      </c>
      <c r="F317" t="s">
        <v>647</v>
      </c>
      <c r="G317" t="s">
        <v>494</v>
      </c>
      <c r="H317">
        <v>690</v>
      </c>
      <c r="I317">
        <v>2</v>
      </c>
      <c r="J317">
        <v>40</v>
      </c>
      <c r="K317">
        <v>1214.95</v>
      </c>
      <c r="L317">
        <v>7.0000000000000007E-2</v>
      </c>
      <c r="M317">
        <f t="shared" si="4"/>
        <v>1300</v>
      </c>
      <c r="N317" t="b">
        <v>1</v>
      </c>
      <c r="O317">
        <v>170.1</v>
      </c>
      <c r="P317">
        <v>170.1</v>
      </c>
      <c r="Q317">
        <v>2600</v>
      </c>
      <c r="R317">
        <v>2600</v>
      </c>
    </row>
    <row r="318" spans="1:18" x14ac:dyDescent="0.25">
      <c r="A318" t="s">
        <v>649</v>
      </c>
      <c r="B318" t="s">
        <v>650</v>
      </c>
      <c r="C318" s="1">
        <v>41957</v>
      </c>
      <c r="D318" t="s">
        <v>93</v>
      </c>
      <c r="E318" t="s">
        <v>20</v>
      </c>
      <c r="F318" t="s">
        <v>651</v>
      </c>
      <c r="G318" t="s">
        <v>340</v>
      </c>
      <c r="H318">
        <v>900</v>
      </c>
      <c r="I318">
        <v>2</v>
      </c>
      <c r="J318">
        <v>100</v>
      </c>
      <c r="K318">
        <v>1495.33</v>
      </c>
      <c r="L318">
        <v>7.0000000000000007E-2</v>
      </c>
      <c r="M318">
        <f t="shared" si="4"/>
        <v>1600</v>
      </c>
      <c r="N318" t="b">
        <v>1</v>
      </c>
      <c r="O318">
        <v>631.30999999999995</v>
      </c>
      <c r="P318">
        <v>631.30999999999995</v>
      </c>
      <c r="Q318">
        <v>9650</v>
      </c>
      <c r="R318">
        <v>9650</v>
      </c>
    </row>
    <row r="319" spans="1:18" x14ac:dyDescent="0.25">
      <c r="A319" t="s">
        <v>652</v>
      </c>
      <c r="B319" t="s">
        <v>650</v>
      </c>
      <c r="C319" s="1">
        <v>41957</v>
      </c>
      <c r="D319" t="s">
        <v>93</v>
      </c>
      <c r="E319" t="s">
        <v>20</v>
      </c>
      <c r="F319" t="s">
        <v>651</v>
      </c>
      <c r="G319" t="s">
        <v>653</v>
      </c>
      <c r="H319">
        <v>900</v>
      </c>
      <c r="I319">
        <v>2</v>
      </c>
      <c r="J319">
        <v>100</v>
      </c>
      <c r="K319">
        <v>1495.33</v>
      </c>
      <c r="L319">
        <v>7.0000000000000007E-2</v>
      </c>
      <c r="M319">
        <f t="shared" si="4"/>
        <v>1600</v>
      </c>
      <c r="N319" t="b">
        <v>1</v>
      </c>
      <c r="O319">
        <v>631.30999999999995</v>
      </c>
      <c r="P319">
        <v>631.30999999999995</v>
      </c>
      <c r="Q319">
        <v>9650</v>
      </c>
      <c r="R319">
        <v>9650</v>
      </c>
    </row>
    <row r="320" spans="1:18" x14ac:dyDescent="0.25">
      <c r="A320" t="s">
        <v>654</v>
      </c>
      <c r="B320" t="s">
        <v>650</v>
      </c>
      <c r="C320" s="1">
        <v>41957</v>
      </c>
      <c r="D320" t="s">
        <v>93</v>
      </c>
      <c r="E320" t="s">
        <v>20</v>
      </c>
      <c r="F320" t="s">
        <v>651</v>
      </c>
      <c r="G320" t="s">
        <v>393</v>
      </c>
      <c r="H320">
        <v>1180</v>
      </c>
      <c r="I320">
        <v>1</v>
      </c>
      <c r="J320">
        <v>280</v>
      </c>
      <c r="K320">
        <v>841.12</v>
      </c>
      <c r="L320">
        <v>7.0000000000000007E-2</v>
      </c>
      <c r="M320">
        <f t="shared" si="4"/>
        <v>900</v>
      </c>
      <c r="N320" t="b">
        <v>1</v>
      </c>
      <c r="O320">
        <v>631.30999999999995</v>
      </c>
      <c r="P320">
        <v>631.30999999999995</v>
      </c>
      <c r="Q320">
        <v>9650</v>
      </c>
      <c r="R320">
        <v>9650</v>
      </c>
    </row>
    <row r="321" spans="1:18" x14ac:dyDescent="0.25">
      <c r="A321" t="s">
        <v>655</v>
      </c>
      <c r="B321" t="s">
        <v>650</v>
      </c>
      <c r="C321" s="1">
        <v>41957</v>
      </c>
      <c r="D321" t="s">
        <v>93</v>
      </c>
      <c r="E321" t="s">
        <v>20</v>
      </c>
      <c r="F321" t="s">
        <v>651</v>
      </c>
      <c r="G321" t="s">
        <v>656</v>
      </c>
      <c r="H321">
        <v>1180</v>
      </c>
      <c r="I321">
        <v>2</v>
      </c>
      <c r="J321">
        <v>280</v>
      </c>
      <c r="K321">
        <v>1682.24</v>
      </c>
      <c r="L321">
        <v>7.0000000000000007E-2</v>
      </c>
      <c r="M321">
        <f t="shared" si="4"/>
        <v>1800</v>
      </c>
      <c r="N321" t="b">
        <v>1</v>
      </c>
      <c r="O321">
        <v>631.30999999999995</v>
      </c>
      <c r="P321">
        <v>631.30999999999995</v>
      </c>
      <c r="Q321">
        <v>9650</v>
      </c>
      <c r="R321">
        <v>9650</v>
      </c>
    </row>
    <row r="322" spans="1:18" x14ac:dyDescent="0.25">
      <c r="A322" t="s">
        <v>657</v>
      </c>
      <c r="B322" t="s">
        <v>650</v>
      </c>
      <c r="C322" s="1">
        <v>41957</v>
      </c>
      <c r="D322" t="s">
        <v>93</v>
      </c>
      <c r="E322" t="s">
        <v>20</v>
      </c>
      <c r="F322" t="s">
        <v>651</v>
      </c>
      <c r="G322" t="s">
        <v>358</v>
      </c>
      <c r="H322">
        <v>1390</v>
      </c>
      <c r="I322">
        <v>2</v>
      </c>
      <c r="J322">
        <v>140</v>
      </c>
      <c r="K322">
        <v>2336.4499999999998</v>
      </c>
      <c r="L322">
        <v>7.0000000000000007E-2</v>
      </c>
      <c r="M322">
        <f t="shared" si="4"/>
        <v>2500</v>
      </c>
      <c r="N322" t="b">
        <v>1</v>
      </c>
      <c r="O322">
        <v>631.30999999999995</v>
      </c>
      <c r="P322">
        <v>631.30999999999995</v>
      </c>
      <c r="Q322">
        <v>9650</v>
      </c>
      <c r="R322">
        <v>9650</v>
      </c>
    </row>
    <row r="323" spans="1:18" x14ac:dyDescent="0.25">
      <c r="A323" t="s">
        <v>658</v>
      </c>
      <c r="B323" t="s">
        <v>650</v>
      </c>
      <c r="C323" s="1">
        <v>41957</v>
      </c>
      <c r="D323" t="s">
        <v>93</v>
      </c>
      <c r="E323" t="s">
        <v>20</v>
      </c>
      <c r="F323" t="s">
        <v>651</v>
      </c>
      <c r="G323" t="s">
        <v>360</v>
      </c>
      <c r="H323">
        <v>1390</v>
      </c>
      <c r="I323">
        <v>1</v>
      </c>
      <c r="J323">
        <v>140</v>
      </c>
      <c r="K323">
        <v>1168.22</v>
      </c>
      <c r="L323">
        <v>7.0000000000000007E-2</v>
      </c>
      <c r="M323">
        <f t="shared" si="4"/>
        <v>1250</v>
      </c>
      <c r="N323" t="b">
        <v>1</v>
      </c>
      <c r="O323">
        <v>631.30999999999995</v>
      </c>
      <c r="P323">
        <v>631.30999999999995</v>
      </c>
      <c r="Q323">
        <v>9650</v>
      </c>
      <c r="R323">
        <v>9650</v>
      </c>
    </row>
    <row r="324" spans="1:18" x14ac:dyDescent="0.25">
      <c r="A324" t="s">
        <v>659</v>
      </c>
      <c r="B324" t="s">
        <v>660</v>
      </c>
      <c r="C324" s="1">
        <v>41957</v>
      </c>
      <c r="D324" t="s">
        <v>93</v>
      </c>
      <c r="E324" t="s">
        <v>20</v>
      </c>
      <c r="F324" t="s">
        <v>661</v>
      </c>
      <c r="G324" t="s">
        <v>340</v>
      </c>
      <c r="H324">
        <v>900</v>
      </c>
      <c r="I324">
        <v>2</v>
      </c>
      <c r="J324">
        <v>100</v>
      </c>
      <c r="K324">
        <v>1495.33</v>
      </c>
      <c r="L324">
        <v>7.0000000000000007E-2</v>
      </c>
      <c r="M324">
        <f t="shared" ref="M324:M372" si="5">ROUND(K324*(1+L324),1)</f>
        <v>1600</v>
      </c>
      <c r="N324" t="b">
        <v>1</v>
      </c>
      <c r="O324">
        <v>529.9</v>
      </c>
      <c r="P324">
        <v>529.9</v>
      </c>
      <c r="Q324">
        <v>8100</v>
      </c>
      <c r="R324">
        <v>8100</v>
      </c>
    </row>
    <row r="325" spans="1:18" x14ac:dyDescent="0.25">
      <c r="A325" t="s">
        <v>662</v>
      </c>
      <c r="B325" t="s">
        <v>660</v>
      </c>
      <c r="C325" s="1">
        <v>41957</v>
      </c>
      <c r="D325" t="s">
        <v>93</v>
      </c>
      <c r="E325" t="s">
        <v>20</v>
      </c>
      <c r="F325" t="s">
        <v>661</v>
      </c>
      <c r="G325" t="s">
        <v>342</v>
      </c>
      <c r="H325">
        <v>900</v>
      </c>
      <c r="I325">
        <v>2</v>
      </c>
      <c r="J325">
        <v>100</v>
      </c>
      <c r="K325">
        <v>1495.33</v>
      </c>
      <c r="L325">
        <v>7.0000000000000007E-2</v>
      </c>
      <c r="M325">
        <f t="shared" si="5"/>
        <v>1600</v>
      </c>
      <c r="N325" t="b">
        <v>1</v>
      </c>
      <c r="O325">
        <v>529.9</v>
      </c>
      <c r="P325">
        <v>529.9</v>
      </c>
      <c r="Q325">
        <v>8100</v>
      </c>
      <c r="R325">
        <v>8100</v>
      </c>
    </row>
    <row r="326" spans="1:18" x14ac:dyDescent="0.25">
      <c r="A326" t="s">
        <v>663</v>
      </c>
      <c r="B326" t="s">
        <v>660</v>
      </c>
      <c r="C326" s="1">
        <v>41957</v>
      </c>
      <c r="D326" t="s">
        <v>93</v>
      </c>
      <c r="E326" t="s">
        <v>20</v>
      </c>
      <c r="F326" t="s">
        <v>661</v>
      </c>
      <c r="G326" t="s">
        <v>393</v>
      </c>
      <c r="H326">
        <v>1180</v>
      </c>
      <c r="I326">
        <v>1</v>
      </c>
      <c r="J326">
        <v>280</v>
      </c>
      <c r="K326">
        <v>841.12</v>
      </c>
      <c r="L326">
        <v>7.0000000000000007E-2</v>
      </c>
      <c r="M326">
        <f t="shared" si="5"/>
        <v>900</v>
      </c>
      <c r="N326" t="b">
        <v>1</v>
      </c>
      <c r="O326">
        <v>529.9</v>
      </c>
      <c r="P326">
        <v>529.9</v>
      </c>
      <c r="Q326">
        <v>8100</v>
      </c>
      <c r="R326">
        <v>8100</v>
      </c>
    </row>
    <row r="327" spans="1:18" x14ac:dyDescent="0.25">
      <c r="A327" t="s">
        <v>664</v>
      </c>
      <c r="B327" t="s">
        <v>660</v>
      </c>
      <c r="C327" s="1">
        <v>41957</v>
      </c>
      <c r="D327" t="s">
        <v>93</v>
      </c>
      <c r="E327" t="s">
        <v>20</v>
      </c>
      <c r="F327" t="s">
        <v>661</v>
      </c>
      <c r="G327" t="s">
        <v>366</v>
      </c>
      <c r="H327">
        <v>1180</v>
      </c>
      <c r="I327">
        <v>2</v>
      </c>
      <c r="J327">
        <v>280</v>
      </c>
      <c r="K327">
        <v>1682.24</v>
      </c>
      <c r="L327">
        <v>7.0000000000000007E-2</v>
      </c>
      <c r="M327">
        <f t="shared" si="5"/>
        <v>1800</v>
      </c>
      <c r="N327" t="b">
        <v>1</v>
      </c>
      <c r="O327">
        <v>529.9</v>
      </c>
      <c r="P327">
        <v>529.9</v>
      </c>
      <c r="Q327">
        <v>8100</v>
      </c>
      <c r="R327">
        <v>8100</v>
      </c>
    </row>
    <row r="328" spans="1:18" x14ac:dyDescent="0.25">
      <c r="A328" t="s">
        <v>665</v>
      </c>
      <c r="B328" t="s">
        <v>660</v>
      </c>
      <c r="C328" s="1">
        <v>41957</v>
      </c>
      <c r="D328" t="s">
        <v>93</v>
      </c>
      <c r="E328" t="s">
        <v>20</v>
      </c>
      <c r="F328" t="s">
        <v>661</v>
      </c>
      <c r="G328" t="s">
        <v>397</v>
      </c>
      <c r="H328">
        <v>1180</v>
      </c>
      <c r="I328">
        <v>1</v>
      </c>
      <c r="J328">
        <v>80</v>
      </c>
      <c r="K328">
        <v>1028.04</v>
      </c>
      <c r="L328">
        <v>7.0000000000000007E-2</v>
      </c>
      <c r="M328">
        <f t="shared" si="5"/>
        <v>1100</v>
      </c>
      <c r="N328" t="b">
        <v>1</v>
      </c>
      <c r="O328">
        <v>529.9</v>
      </c>
      <c r="P328">
        <v>529.9</v>
      </c>
      <c r="Q328">
        <v>8100</v>
      </c>
      <c r="R328">
        <v>8100</v>
      </c>
    </row>
    <row r="329" spans="1:18" x14ac:dyDescent="0.25">
      <c r="A329" t="s">
        <v>666</v>
      </c>
      <c r="B329" t="s">
        <v>660</v>
      </c>
      <c r="C329" s="1">
        <v>41957</v>
      </c>
      <c r="D329" t="s">
        <v>93</v>
      </c>
      <c r="E329" t="s">
        <v>20</v>
      </c>
      <c r="F329" t="s">
        <v>661</v>
      </c>
      <c r="G329" t="s">
        <v>399</v>
      </c>
      <c r="H329">
        <v>1180</v>
      </c>
      <c r="I329">
        <v>1</v>
      </c>
      <c r="J329">
        <v>80</v>
      </c>
      <c r="K329">
        <v>1028.04</v>
      </c>
      <c r="L329">
        <v>7.0000000000000007E-2</v>
      </c>
      <c r="M329">
        <f t="shared" si="5"/>
        <v>1100</v>
      </c>
      <c r="N329" t="b">
        <v>1</v>
      </c>
      <c r="O329">
        <v>529.9</v>
      </c>
      <c r="P329">
        <v>529.9</v>
      </c>
      <c r="Q329">
        <v>8100</v>
      </c>
      <c r="R329">
        <v>8100</v>
      </c>
    </row>
    <row r="330" spans="1:18" x14ac:dyDescent="0.25">
      <c r="A330" t="s">
        <v>667</v>
      </c>
      <c r="B330" t="s">
        <v>668</v>
      </c>
      <c r="C330" s="1">
        <v>41957</v>
      </c>
      <c r="D330" t="s">
        <v>19</v>
      </c>
      <c r="E330" t="s">
        <v>20</v>
      </c>
      <c r="F330" t="s">
        <v>54</v>
      </c>
      <c r="G330" t="s">
        <v>333</v>
      </c>
      <c r="H330">
        <v>970</v>
      </c>
      <c r="I330">
        <v>5</v>
      </c>
      <c r="J330">
        <v>255</v>
      </c>
      <c r="K330">
        <v>3341.12</v>
      </c>
      <c r="L330">
        <v>7.0000000000000007E-2</v>
      </c>
      <c r="M330">
        <f t="shared" si="5"/>
        <v>3575</v>
      </c>
      <c r="O330">
        <v>561.30999999999995</v>
      </c>
      <c r="P330">
        <v>561.30999999999995</v>
      </c>
      <c r="Q330">
        <v>8580</v>
      </c>
      <c r="R330">
        <v>8580</v>
      </c>
    </row>
    <row r="331" spans="1:18" x14ac:dyDescent="0.25">
      <c r="A331" t="s">
        <v>669</v>
      </c>
      <c r="B331" t="s">
        <v>668</v>
      </c>
      <c r="C331" s="1">
        <v>41957</v>
      </c>
      <c r="D331" t="s">
        <v>19</v>
      </c>
      <c r="E331" t="s">
        <v>20</v>
      </c>
      <c r="F331" t="s">
        <v>54</v>
      </c>
      <c r="G331" t="s">
        <v>322</v>
      </c>
      <c r="H331">
        <v>970</v>
      </c>
      <c r="I331">
        <v>3</v>
      </c>
      <c r="J331">
        <v>255</v>
      </c>
      <c r="K331">
        <v>2004.67</v>
      </c>
      <c r="L331">
        <v>7.0000000000000007E-2</v>
      </c>
      <c r="M331">
        <f t="shared" si="5"/>
        <v>2145</v>
      </c>
      <c r="O331">
        <v>561.30999999999995</v>
      </c>
      <c r="P331">
        <v>561.30999999999995</v>
      </c>
      <c r="Q331">
        <v>8580</v>
      </c>
      <c r="R331">
        <v>8580</v>
      </c>
    </row>
    <row r="332" spans="1:18" x14ac:dyDescent="0.25">
      <c r="A332" t="s">
        <v>670</v>
      </c>
      <c r="B332" t="s">
        <v>668</v>
      </c>
      <c r="C332" s="1">
        <v>41957</v>
      </c>
      <c r="D332" t="s">
        <v>19</v>
      </c>
      <c r="E332" t="s">
        <v>20</v>
      </c>
      <c r="F332" t="s">
        <v>54</v>
      </c>
      <c r="G332" t="s">
        <v>324</v>
      </c>
      <c r="H332">
        <v>970</v>
      </c>
      <c r="I332">
        <v>4</v>
      </c>
      <c r="J332">
        <v>255</v>
      </c>
      <c r="K332">
        <v>2672.9</v>
      </c>
      <c r="L332">
        <v>7.0000000000000007E-2</v>
      </c>
      <c r="M332">
        <f t="shared" si="5"/>
        <v>2860</v>
      </c>
      <c r="O332">
        <v>561.30999999999995</v>
      </c>
      <c r="P332">
        <v>561.30999999999995</v>
      </c>
      <c r="Q332">
        <v>8580</v>
      </c>
      <c r="R332">
        <v>8580</v>
      </c>
    </row>
    <row r="333" spans="1:18" x14ac:dyDescent="0.25">
      <c r="A333" t="s">
        <v>671</v>
      </c>
      <c r="B333" t="s">
        <v>672</v>
      </c>
      <c r="C333" s="1">
        <v>41957</v>
      </c>
      <c r="D333" t="s">
        <v>93</v>
      </c>
      <c r="E333" t="s">
        <v>20</v>
      </c>
      <c r="F333" t="s">
        <v>54</v>
      </c>
      <c r="G333" t="s">
        <v>333</v>
      </c>
      <c r="H333">
        <v>1390</v>
      </c>
      <c r="I333">
        <v>2</v>
      </c>
      <c r="J333">
        <v>675</v>
      </c>
      <c r="K333">
        <v>1336.45</v>
      </c>
      <c r="L333">
        <v>7.0000000000000007E-2</v>
      </c>
      <c r="M333">
        <f t="shared" si="5"/>
        <v>1430</v>
      </c>
      <c r="O333">
        <v>280.64999999999998</v>
      </c>
      <c r="P333">
        <v>280.64999999999998</v>
      </c>
      <c r="Q333">
        <v>4290</v>
      </c>
      <c r="R333">
        <v>4290</v>
      </c>
    </row>
    <row r="334" spans="1:18" x14ac:dyDescent="0.25">
      <c r="A334" t="s">
        <v>673</v>
      </c>
      <c r="B334" t="s">
        <v>672</v>
      </c>
      <c r="C334" s="1">
        <v>41957</v>
      </c>
      <c r="D334" t="s">
        <v>19</v>
      </c>
      <c r="E334" t="s">
        <v>20</v>
      </c>
      <c r="F334" t="s">
        <v>54</v>
      </c>
      <c r="G334" t="s">
        <v>322</v>
      </c>
      <c r="H334">
        <v>1390</v>
      </c>
      <c r="I334">
        <v>2</v>
      </c>
      <c r="J334">
        <v>675</v>
      </c>
      <c r="K334">
        <v>1336.45</v>
      </c>
      <c r="L334">
        <v>7.0000000000000007E-2</v>
      </c>
      <c r="M334">
        <f t="shared" si="5"/>
        <v>1430</v>
      </c>
      <c r="O334">
        <v>280.64999999999998</v>
      </c>
      <c r="P334">
        <v>280.64999999999998</v>
      </c>
      <c r="Q334">
        <v>4290</v>
      </c>
      <c r="R334">
        <v>4290</v>
      </c>
    </row>
    <row r="335" spans="1:18" x14ac:dyDescent="0.25">
      <c r="A335" t="s">
        <v>674</v>
      </c>
      <c r="B335" t="s">
        <v>672</v>
      </c>
      <c r="C335" s="1">
        <v>41957</v>
      </c>
      <c r="D335" t="s">
        <v>93</v>
      </c>
      <c r="E335" t="s">
        <v>20</v>
      </c>
      <c r="F335" t="s">
        <v>54</v>
      </c>
      <c r="G335" t="s">
        <v>324</v>
      </c>
      <c r="H335">
        <v>1390</v>
      </c>
      <c r="I335">
        <v>2</v>
      </c>
      <c r="J335">
        <v>675</v>
      </c>
      <c r="K335">
        <v>1336.45</v>
      </c>
      <c r="L335">
        <v>7.0000000000000007E-2</v>
      </c>
      <c r="M335">
        <f t="shared" si="5"/>
        <v>1430</v>
      </c>
      <c r="O335">
        <v>280.64999999999998</v>
      </c>
      <c r="P335">
        <v>280.64999999999998</v>
      </c>
      <c r="Q335">
        <v>4290</v>
      </c>
      <c r="R335">
        <v>4290</v>
      </c>
    </row>
    <row r="336" spans="1:18" x14ac:dyDescent="0.25">
      <c r="A336" t="s">
        <v>675</v>
      </c>
      <c r="B336" t="s">
        <v>676</v>
      </c>
      <c r="C336" s="1">
        <v>41957</v>
      </c>
      <c r="D336" t="s">
        <v>93</v>
      </c>
      <c r="E336" t="s">
        <v>20</v>
      </c>
      <c r="F336" t="s">
        <v>677</v>
      </c>
      <c r="G336" t="s">
        <v>380</v>
      </c>
      <c r="H336">
        <v>1600</v>
      </c>
      <c r="I336">
        <v>3</v>
      </c>
      <c r="J336">
        <v>700</v>
      </c>
      <c r="K336">
        <v>2523.36</v>
      </c>
      <c r="L336">
        <v>7.0000000000000007E-2</v>
      </c>
      <c r="M336">
        <f t="shared" si="5"/>
        <v>2700</v>
      </c>
      <c r="N336" t="b">
        <v>1</v>
      </c>
      <c r="O336">
        <v>874.69</v>
      </c>
      <c r="P336">
        <v>874.69</v>
      </c>
      <c r="Q336">
        <v>13370</v>
      </c>
      <c r="R336">
        <v>13370</v>
      </c>
    </row>
    <row r="337" spans="1:18" x14ac:dyDescent="0.25">
      <c r="A337" t="s">
        <v>678</v>
      </c>
      <c r="B337" t="s">
        <v>676</v>
      </c>
      <c r="C337" s="1">
        <v>41957</v>
      </c>
      <c r="D337" t="s">
        <v>93</v>
      </c>
      <c r="E337" t="s">
        <v>20</v>
      </c>
      <c r="F337" t="s">
        <v>677</v>
      </c>
      <c r="G337" t="s">
        <v>679</v>
      </c>
      <c r="H337">
        <v>1600</v>
      </c>
      <c r="I337">
        <v>2</v>
      </c>
      <c r="J337">
        <v>600</v>
      </c>
      <c r="K337">
        <v>1869.16</v>
      </c>
      <c r="L337">
        <v>7.0000000000000007E-2</v>
      </c>
      <c r="M337">
        <f t="shared" si="5"/>
        <v>2000</v>
      </c>
      <c r="N337" t="b">
        <v>1</v>
      </c>
      <c r="O337">
        <v>874.69</v>
      </c>
      <c r="P337">
        <v>874.69</v>
      </c>
      <c r="Q337">
        <v>13370</v>
      </c>
      <c r="R337">
        <v>13370</v>
      </c>
    </row>
    <row r="338" spans="1:18" x14ac:dyDescent="0.25">
      <c r="A338" t="s">
        <v>680</v>
      </c>
      <c r="B338" t="s">
        <v>676</v>
      </c>
      <c r="C338" s="1">
        <v>41957</v>
      </c>
      <c r="D338" t="s">
        <v>93</v>
      </c>
      <c r="E338" t="s">
        <v>20</v>
      </c>
      <c r="F338" t="s">
        <v>677</v>
      </c>
      <c r="G338" t="s">
        <v>681</v>
      </c>
      <c r="H338">
        <v>1600</v>
      </c>
      <c r="I338">
        <v>1</v>
      </c>
      <c r="J338">
        <v>600</v>
      </c>
      <c r="K338">
        <v>934.58</v>
      </c>
      <c r="L338">
        <v>7.0000000000000007E-2</v>
      </c>
      <c r="M338">
        <f t="shared" si="5"/>
        <v>1000</v>
      </c>
      <c r="N338" t="b">
        <v>1</v>
      </c>
      <c r="O338">
        <v>874.69</v>
      </c>
      <c r="P338">
        <v>874.69</v>
      </c>
      <c r="Q338">
        <v>13370</v>
      </c>
      <c r="R338">
        <v>13370</v>
      </c>
    </row>
    <row r="339" spans="1:18" x14ac:dyDescent="0.25">
      <c r="A339" t="s">
        <v>682</v>
      </c>
      <c r="B339" t="s">
        <v>676</v>
      </c>
      <c r="C339" s="1">
        <v>41957</v>
      </c>
      <c r="D339" t="s">
        <v>93</v>
      </c>
      <c r="E339" t="s">
        <v>20</v>
      </c>
      <c r="F339" t="s">
        <v>677</v>
      </c>
      <c r="G339" t="s">
        <v>446</v>
      </c>
      <c r="H339">
        <v>1320</v>
      </c>
      <c r="I339">
        <v>1</v>
      </c>
      <c r="J339">
        <v>350</v>
      </c>
      <c r="K339">
        <v>906.54</v>
      </c>
      <c r="L339">
        <v>7.0000000000000007E-2</v>
      </c>
      <c r="M339">
        <f t="shared" si="5"/>
        <v>970</v>
      </c>
      <c r="N339" t="b">
        <v>1</v>
      </c>
      <c r="O339">
        <v>874.69</v>
      </c>
      <c r="P339">
        <v>874.69</v>
      </c>
      <c r="Q339">
        <v>13370</v>
      </c>
      <c r="R339">
        <v>13370</v>
      </c>
    </row>
    <row r="340" spans="1:18" x14ac:dyDescent="0.25">
      <c r="A340" t="s">
        <v>683</v>
      </c>
      <c r="B340" t="s">
        <v>676</v>
      </c>
      <c r="C340" s="1">
        <v>41957</v>
      </c>
      <c r="D340" t="s">
        <v>93</v>
      </c>
      <c r="E340" t="s">
        <v>20</v>
      </c>
      <c r="F340" t="s">
        <v>677</v>
      </c>
      <c r="G340" t="s">
        <v>442</v>
      </c>
      <c r="H340">
        <v>1320</v>
      </c>
      <c r="I340">
        <v>1</v>
      </c>
      <c r="J340">
        <v>350</v>
      </c>
      <c r="K340">
        <v>906.54</v>
      </c>
      <c r="L340">
        <v>7.0000000000000007E-2</v>
      </c>
      <c r="M340">
        <f t="shared" si="5"/>
        <v>970</v>
      </c>
      <c r="N340" t="b">
        <v>1</v>
      </c>
      <c r="O340">
        <v>874.69</v>
      </c>
      <c r="P340">
        <v>874.69</v>
      </c>
      <c r="Q340">
        <v>13370</v>
      </c>
      <c r="R340">
        <v>13370</v>
      </c>
    </row>
    <row r="341" spans="1:18" x14ac:dyDescent="0.25">
      <c r="A341" t="s">
        <v>684</v>
      </c>
      <c r="B341" t="s">
        <v>676</v>
      </c>
      <c r="C341" s="1">
        <v>41957</v>
      </c>
      <c r="D341" t="s">
        <v>93</v>
      </c>
      <c r="E341" t="s">
        <v>20</v>
      </c>
      <c r="F341" t="s">
        <v>677</v>
      </c>
      <c r="G341" t="s">
        <v>444</v>
      </c>
      <c r="H341">
        <v>1320</v>
      </c>
      <c r="I341">
        <v>1</v>
      </c>
      <c r="J341">
        <v>350</v>
      </c>
      <c r="K341">
        <v>906.54</v>
      </c>
      <c r="L341">
        <v>7.0000000000000007E-2</v>
      </c>
      <c r="M341">
        <f t="shared" si="5"/>
        <v>970</v>
      </c>
      <c r="N341" t="b">
        <v>1</v>
      </c>
      <c r="O341">
        <v>874.69</v>
      </c>
      <c r="P341">
        <v>874.69</v>
      </c>
      <c r="Q341">
        <v>13370</v>
      </c>
      <c r="R341">
        <v>13370</v>
      </c>
    </row>
    <row r="342" spans="1:18" x14ac:dyDescent="0.25">
      <c r="A342" t="s">
        <v>685</v>
      </c>
      <c r="B342" t="s">
        <v>676</v>
      </c>
      <c r="C342" s="1">
        <v>41957</v>
      </c>
      <c r="D342" t="s">
        <v>93</v>
      </c>
      <c r="E342" t="s">
        <v>20</v>
      </c>
      <c r="F342" t="s">
        <v>677</v>
      </c>
      <c r="G342" t="s">
        <v>358</v>
      </c>
      <c r="H342">
        <v>1390</v>
      </c>
      <c r="I342">
        <v>1</v>
      </c>
      <c r="J342">
        <v>160</v>
      </c>
      <c r="K342">
        <v>1149.53</v>
      </c>
      <c r="L342">
        <v>7.0000000000000007E-2</v>
      </c>
      <c r="M342">
        <f t="shared" si="5"/>
        <v>1230</v>
      </c>
      <c r="N342" t="b">
        <v>1</v>
      </c>
      <c r="O342">
        <v>874.69</v>
      </c>
      <c r="P342">
        <v>874.69</v>
      </c>
      <c r="Q342">
        <v>13370</v>
      </c>
      <c r="R342">
        <v>13370</v>
      </c>
    </row>
    <row r="343" spans="1:18" x14ac:dyDescent="0.25">
      <c r="A343" t="s">
        <v>686</v>
      </c>
      <c r="B343" t="s">
        <v>676</v>
      </c>
      <c r="C343" s="1">
        <v>41957</v>
      </c>
      <c r="D343" t="s">
        <v>93</v>
      </c>
      <c r="E343" t="s">
        <v>20</v>
      </c>
      <c r="F343" t="s">
        <v>677</v>
      </c>
      <c r="G343" t="s">
        <v>360</v>
      </c>
      <c r="H343">
        <v>1390</v>
      </c>
      <c r="I343">
        <v>1</v>
      </c>
      <c r="J343">
        <v>160</v>
      </c>
      <c r="K343">
        <v>1149.53</v>
      </c>
      <c r="L343">
        <v>7.0000000000000007E-2</v>
      </c>
      <c r="M343">
        <f t="shared" si="5"/>
        <v>1230</v>
      </c>
      <c r="N343" t="b">
        <v>1</v>
      </c>
      <c r="O343">
        <v>874.69</v>
      </c>
      <c r="P343">
        <v>874.69</v>
      </c>
      <c r="Q343">
        <v>13370</v>
      </c>
      <c r="R343">
        <v>13370</v>
      </c>
    </row>
    <row r="344" spans="1:18" x14ac:dyDescent="0.25">
      <c r="A344" t="s">
        <v>687</v>
      </c>
      <c r="B344" t="s">
        <v>676</v>
      </c>
      <c r="C344" s="1">
        <v>41957</v>
      </c>
      <c r="D344" t="s">
        <v>93</v>
      </c>
      <c r="E344" t="s">
        <v>20</v>
      </c>
      <c r="F344" t="s">
        <v>677</v>
      </c>
      <c r="G344" t="s">
        <v>393</v>
      </c>
      <c r="H344">
        <v>1180</v>
      </c>
      <c r="I344">
        <v>1</v>
      </c>
      <c r="J344">
        <v>380</v>
      </c>
      <c r="K344">
        <v>747.66</v>
      </c>
      <c r="L344">
        <v>7.0000000000000007E-2</v>
      </c>
      <c r="M344">
        <f t="shared" si="5"/>
        <v>800</v>
      </c>
      <c r="N344" t="b">
        <v>1</v>
      </c>
      <c r="O344">
        <v>874.69</v>
      </c>
      <c r="P344">
        <v>874.69</v>
      </c>
      <c r="Q344">
        <v>13370</v>
      </c>
      <c r="R344">
        <v>13370</v>
      </c>
    </row>
    <row r="345" spans="1:18" x14ac:dyDescent="0.25">
      <c r="A345" t="s">
        <v>688</v>
      </c>
      <c r="B345" t="s">
        <v>676</v>
      </c>
      <c r="C345" s="1">
        <v>41957</v>
      </c>
      <c r="D345" t="s">
        <v>93</v>
      </c>
      <c r="E345" t="s">
        <v>20</v>
      </c>
      <c r="F345" t="s">
        <v>677</v>
      </c>
      <c r="G345" t="s">
        <v>656</v>
      </c>
      <c r="H345">
        <v>1180</v>
      </c>
      <c r="I345">
        <v>1</v>
      </c>
      <c r="J345">
        <v>380</v>
      </c>
      <c r="K345">
        <v>747.66</v>
      </c>
      <c r="L345">
        <v>7.0000000000000007E-2</v>
      </c>
      <c r="M345">
        <f t="shared" si="5"/>
        <v>800</v>
      </c>
      <c r="N345" t="b">
        <v>1</v>
      </c>
      <c r="O345">
        <v>874.69</v>
      </c>
      <c r="P345">
        <v>874.69</v>
      </c>
      <c r="Q345">
        <v>13370</v>
      </c>
      <c r="R345">
        <v>13370</v>
      </c>
    </row>
    <row r="346" spans="1:18" x14ac:dyDescent="0.25">
      <c r="A346" t="s">
        <v>689</v>
      </c>
      <c r="B346" t="s">
        <v>676</v>
      </c>
      <c r="C346" s="1">
        <v>41957</v>
      </c>
      <c r="D346" t="s">
        <v>93</v>
      </c>
      <c r="E346" t="s">
        <v>20</v>
      </c>
      <c r="F346" t="s">
        <v>677</v>
      </c>
      <c r="G346" t="s">
        <v>356</v>
      </c>
      <c r="H346">
        <v>550</v>
      </c>
      <c r="I346">
        <v>2</v>
      </c>
      <c r="J346">
        <v>200</v>
      </c>
      <c r="K346">
        <v>654.21</v>
      </c>
      <c r="L346">
        <v>7.0000000000000007E-2</v>
      </c>
      <c r="M346">
        <f t="shared" si="5"/>
        <v>700</v>
      </c>
      <c r="N346" t="b">
        <v>1</v>
      </c>
      <c r="O346">
        <v>874.69</v>
      </c>
      <c r="P346">
        <v>874.69</v>
      </c>
      <c r="Q346">
        <v>13370</v>
      </c>
      <c r="R346">
        <v>13370</v>
      </c>
    </row>
    <row r="347" spans="1:18" x14ac:dyDescent="0.25">
      <c r="A347" t="s">
        <v>690</v>
      </c>
      <c r="B347" t="s">
        <v>691</v>
      </c>
      <c r="C347" s="1">
        <v>41957</v>
      </c>
      <c r="D347" t="s">
        <v>93</v>
      </c>
      <c r="E347" t="s">
        <v>20</v>
      </c>
      <c r="F347" t="s">
        <v>692</v>
      </c>
      <c r="G347" t="s">
        <v>380</v>
      </c>
      <c r="H347">
        <v>1600</v>
      </c>
      <c r="I347">
        <v>3</v>
      </c>
      <c r="J347">
        <v>700</v>
      </c>
      <c r="K347">
        <v>2523.36</v>
      </c>
      <c r="L347">
        <v>7.0000000000000007E-2</v>
      </c>
      <c r="M347">
        <f t="shared" si="5"/>
        <v>2700</v>
      </c>
      <c r="N347" t="b">
        <v>1</v>
      </c>
      <c r="O347">
        <v>1424.21</v>
      </c>
      <c r="P347">
        <v>1424.21</v>
      </c>
      <c r="Q347">
        <v>21770</v>
      </c>
      <c r="R347">
        <v>21770</v>
      </c>
    </row>
    <row r="348" spans="1:18" x14ac:dyDescent="0.25">
      <c r="A348" t="s">
        <v>693</v>
      </c>
      <c r="B348" t="s">
        <v>691</v>
      </c>
      <c r="C348" s="1">
        <v>41957</v>
      </c>
      <c r="D348" t="s">
        <v>93</v>
      </c>
      <c r="E348" t="s">
        <v>20</v>
      </c>
      <c r="F348" t="s">
        <v>692</v>
      </c>
      <c r="G348" t="s">
        <v>397</v>
      </c>
      <c r="H348">
        <v>1180</v>
      </c>
      <c r="I348">
        <v>3</v>
      </c>
      <c r="J348">
        <v>230</v>
      </c>
      <c r="K348">
        <v>2663.55</v>
      </c>
      <c r="L348">
        <v>7.0000000000000007E-2</v>
      </c>
      <c r="M348">
        <f t="shared" si="5"/>
        <v>2850</v>
      </c>
      <c r="N348" t="b">
        <v>1</v>
      </c>
      <c r="O348">
        <v>1424.21</v>
      </c>
      <c r="P348">
        <v>1424.21</v>
      </c>
      <c r="Q348">
        <v>21770</v>
      </c>
      <c r="R348">
        <v>21770</v>
      </c>
    </row>
    <row r="349" spans="1:18" x14ac:dyDescent="0.25">
      <c r="A349" t="s">
        <v>694</v>
      </c>
      <c r="B349" t="s">
        <v>691</v>
      </c>
      <c r="C349" s="1">
        <v>41957</v>
      </c>
      <c r="D349" t="s">
        <v>93</v>
      </c>
      <c r="E349" t="s">
        <v>20</v>
      </c>
      <c r="F349" t="s">
        <v>692</v>
      </c>
      <c r="G349" t="s">
        <v>399</v>
      </c>
      <c r="H349">
        <v>1180</v>
      </c>
      <c r="I349">
        <v>3</v>
      </c>
      <c r="J349">
        <v>230</v>
      </c>
      <c r="K349">
        <v>2663.55</v>
      </c>
      <c r="L349">
        <v>7.0000000000000007E-2</v>
      </c>
      <c r="M349">
        <f t="shared" si="5"/>
        <v>2850</v>
      </c>
      <c r="N349" t="b">
        <v>1</v>
      </c>
      <c r="O349">
        <v>1424.21</v>
      </c>
      <c r="P349">
        <v>1424.21</v>
      </c>
      <c r="Q349">
        <v>21770</v>
      </c>
      <c r="R349">
        <v>21770</v>
      </c>
    </row>
    <row r="350" spans="1:18" x14ac:dyDescent="0.25">
      <c r="A350" t="s">
        <v>695</v>
      </c>
      <c r="B350" t="s">
        <v>691</v>
      </c>
      <c r="C350" s="1">
        <v>41957</v>
      </c>
      <c r="D350" t="s">
        <v>93</v>
      </c>
      <c r="E350" t="s">
        <v>20</v>
      </c>
      <c r="F350" t="s">
        <v>692</v>
      </c>
      <c r="G350" t="s">
        <v>393</v>
      </c>
      <c r="H350">
        <v>1180</v>
      </c>
      <c r="I350">
        <v>2</v>
      </c>
      <c r="J350">
        <v>380</v>
      </c>
      <c r="K350">
        <v>1495.33</v>
      </c>
      <c r="L350">
        <v>7.0000000000000007E-2</v>
      </c>
      <c r="M350">
        <f t="shared" si="5"/>
        <v>1600</v>
      </c>
      <c r="N350" t="b">
        <v>1</v>
      </c>
      <c r="O350">
        <v>1424.21</v>
      </c>
      <c r="P350">
        <v>1424.21</v>
      </c>
      <c r="Q350">
        <v>21770</v>
      </c>
      <c r="R350">
        <v>21770</v>
      </c>
    </row>
    <row r="351" spans="1:18" x14ac:dyDescent="0.25">
      <c r="A351" t="s">
        <v>696</v>
      </c>
      <c r="B351" t="s">
        <v>691</v>
      </c>
      <c r="C351" s="1">
        <v>41957</v>
      </c>
      <c r="D351" t="s">
        <v>93</v>
      </c>
      <c r="E351" t="s">
        <v>20</v>
      </c>
      <c r="F351" t="s">
        <v>692</v>
      </c>
      <c r="G351" t="s">
        <v>366</v>
      </c>
      <c r="H351">
        <v>1180</v>
      </c>
      <c r="I351">
        <v>2</v>
      </c>
      <c r="J351">
        <v>380</v>
      </c>
      <c r="K351">
        <v>1495.33</v>
      </c>
      <c r="L351">
        <v>7.0000000000000007E-2</v>
      </c>
      <c r="M351">
        <f t="shared" si="5"/>
        <v>1600</v>
      </c>
      <c r="N351" t="b">
        <v>1</v>
      </c>
      <c r="O351">
        <v>1424.21</v>
      </c>
      <c r="P351">
        <v>1424.21</v>
      </c>
      <c r="Q351">
        <v>21770</v>
      </c>
      <c r="R351">
        <v>21770</v>
      </c>
    </row>
    <row r="352" spans="1:18" x14ac:dyDescent="0.25">
      <c r="A352" t="s">
        <v>697</v>
      </c>
      <c r="B352" t="s">
        <v>691</v>
      </c>
      <c r="C352" s="1">
        <v>41957</v>
      </c>
      <c r="D352" t="s">
        <v>93</v>
      </c>
      <c r="E352" t="s">
        <v>20</v>
      </c>
      <c r="F352" t="s">
        <v>692</v>
      </c>
      <c r="G352" t="s">
        <v>333</v>
      </c>
      <c r="H352">
        <v>970</v>
      </c>
      <c r="I352">
        <v>2</v>
      </c>
      <c r="J352">
        <v>220</v>
      </c>
      <c r="K352">
        <v>1401.87</v>
      </c>
      <c r="L352">
        <v>7.0000000000000007E-2</v>
      </c>
      <c r="M352">
        <f t="shared" si="5"/>
        <v>1500</v>
      </c>
      <c r="N352" t="b">
        <v>1</v>
      </c>
      <c r="O352">
        <v>1424.21</v>
      </c>
      <c r="P352">
        <v>1424.21</v>
      </c>
      <c r="Q352">
        <v>21770</v>
      </c>
      <c r="R352">
        <v>21770</v>
      </c>
    </row>
    <row r="353" spans="1:18" x14ac:dyDescent="0.25">
      <c r="A353" t="s">
        <v>698</v>
      </c>
      <c r="B353" t="s">
        <v>691</v>
      </c>
      <c r="C353" s="1">
        <v>41957</v>
      </c>
      <c r="D353" t="s">
        <v>93</v>
      </c>
      <c r="E353" t="s">
        <v>20</v>
      </c>
      <c r="F353" t="s">
        <v>692</v>
      </c>
      <c r="G353" t="s">
        <v>322</v>
      </c>
      <c r="H353">
        <v>970</v>
      </c>
      <c r="I353">
        <v>3</v>
      </c>
      <c r="J353">
        <v>220</v>
      </c>
      <c r="K353">
        <v>2102.8000000000002</v>
      </c>
      <c r="L353">
        <v>7.0000000000000007E-2</v>
      </c>
      <c r="M353">
        <f t="shared" si="5"/>
        <v>2250</v>
      </c>
      <c r="N353" t="b">
        <v>1</v>
      </c>
      <c r="O353">
        <v>1424.21</v>
      </c>
      <c r="P353">
        <v>1424.21</v>
      </c>
      <c r="Q353">
        <v>21770</v>
      </c>
      <c r="R353">
        <v>21770</v>
      </c>
    </row>
    <row r="354" spans="1:18" x14ac:dyDescent="0.25">
      <c r="A354" t="s">
        <v>699</v>
      </c>
      <c r="B354" t="s">
        <v>691</v>
      </c>
      <c r="C354" s="1">
        <v>41957</v>
      </c>
      <c r="D354" t="s">
        <v>93</v>
      </c>
      <c r="E354" t="s">
        <v>20</v>
      </c>
      <c r="F354" t="s">
        <v>692</v>
      </c>
      <c r="G354" t="s">
        <v>324</v>
      </c>
      <c r="H354">
        <v>970</v>
      </c>
      <c r="I354">
        <v>3</v>
      </c>
      <c r="J354">
        <v>220</v>
      </c>
      <c r="K354">
        <v>2102.8000000000002</v>
      </c>
      <c r="L354">
        <v>7.0000000000000007E-2</v>
      </c>
      <c r="M354">
        <f t="shared" si="5"/>
        <v>2250</v>
      </c>
      <c r="N354" t="b">
        <v>1</v>
      </c>
      <c r="O354">
        <v>1424.21</v>
      </c>
      <c r="P354">
        <v>1424.21</v>
      </c>
      <c r="Q354">
        <v>21770</v>
      </c>
      <c r="R354">
        <v>21770</v>
      </c>
    </row>
    <row r="355" spans="1:18" x14ac:dyDescent="0.25">
      <c r="A355" t="s">
        <v>700</v>
      </c>
      <c r="B355" t="s">
        <v>691</v>
      </c>
      <c r="C355" s="1">
        <v>41957</v>
      </c>
      <c r="D355" t="s">
        <v>93</v>
      </c>
      <c r="E355" t="s">
        <v>20</v>
      </c>
      <c r="F355" t="s">
        <v>692</v>
      </c>
      <c r="G355" t="s">
        <v>338</v>
      </c>
      <c r="H355">
        <v>1040</v>
      </c>
      <c r="I355">
        <v>2</v>
      </c>
      <c r="J355">
        <v>440</v>
      </c>
      <c r="K355">
        <v>1121.5</v>
      </c>
      <c r="L355">
        <v>7.0000000000000007E-2</v>
      </c>
      <c r="M355">
        <f t="shared" si="5"/>
        <v>1200</v>
      </c>
      <c r="N355" t="b">
        <v>1</v>
      </c>
      <c r="O355">
        <v>1424.21</v>
      </c>
      <c r="P355">
        <v>1424.21</v>
      </c>
      <c r="Q355">
        <v>21770</v>
      </c>
      <c r="R355">
        <v>21770</v>
      </c>
    </row>
    <row r="356" spans="1:18" x14ac:dyDescent="0.25">
      <c r="A356" t="s">
        <v>701</v>
      </c>
      <c r="B356" t="s">
        <v>691</v>
      </c>
      <c r="C356" s="1">
        <v>41957</v>
      </c>
      <c r="D356" t="s">
        <v>93</v>
      </c>
      <c r="E356" t="s">
        <v>20</v>
      </c>
      <c r="F356" t="s">
        <v>692</v>
      </c>
      <c r="G356" t="s">
        <v>501</v>
      </c>
      <c r="H356">
        <v>340</v>
      </c>
      <c r="I356">
        <v>3</v>
      </c>
      <c r="J356">
        <v>100</v>
      </c>
      <c r="K356">
        <v>672.9</v>
      </c>
      <c r="L356">
        <v>7.0000000000000007E-2</v>
      </c>
      <c r="M356">
        <f t="shared" si="5"/>
        <v>720</v>
      </c>
      <c r="N356" t="b">
        <v>1</v>
      </c>
      <c r="O356">
        <v>1424.21</v>
      </c>
      <c r="P356">
        <v>1424.21</v>
      </c>
      <c r="Q356">
        <v>21770</v>
      </c>
      <c r="R356">
        <v>21770</v>
      </c>
    </row>
    <row r="357" spans="1:18" x14ac:dyDescent="0.25">
      <c r="A357" t="s">
        <v>702</v>
      </c>
      <c r="B357" t="s">
        <v>691</v>
      </c>
      <c r="C357" s="1">
        <v>41957</v>
      </c>
      <c r="D357" t="s">
        <v>93</v>
      </c>
      <c r="E357" t="s">
        <v>20</v>
      </c>
      <c r="F357" t="s">
        <v>692</v>
      </c>
      <c r="G357" t="s">
        <v>636</v>
      </c>
      <c r="H357">
        <v>340</v>
      </c>
      <c r="I357">
        <v>3</v>
      </c>
      <c r="J357">
        <v>100</v>
      </c>
      <c r="K357">
        <v>672.9</v>
      </c>
      <c r="L357">
        <v>7.0000000000000007E-2</v>
      </c>
      <c r="M357">
        <f t="shared" si="5"/>
        <v>720</v>
      </c>
      <c r="N357" t="b">
        <v>1</v>
      </c>
      <c r="O357">
        <v>1424.21</v>
      </c>
      <c r="P357">
        <v>1424.21</v>
      </c>
      <c r="Q357">
        <v>21770</v>
      </c>
      <c r="R357">
        <v>21770</v>
      </c>
    </row>
    <row r="358" spans="1:18" x14ac:dyDescent="0.25">
      <c r="A358" t="s">
        <v>703</v>
      </c>
      <c r="B358" t="s">
        <v>691</v>
      </c>
      <c r="C358" s="1">
        <v>41957</v>
      </c>
      <c r="D358" t="s">
        <v>93</v>
      </c>
      <c r="E358" t="s">
        <v>20</v>
      </c>
      <c r="F358" t="s">
        <v>692</v>
      </c>
      <c r="G358" t="s">
        <v>557</v>
      </c>
      <c r="H358">
        <v>320</v>
      </c>
      <c r="I358">
        <v>3</v>
      </c>
      <c r="J358">
        <v>65</v>
      </c>
      <c r="K358">
        <v>714.95</v>
      </c>
      <c r="L358">
        <v>7.0000000000000007E-2</v>
      </c>
      <c r="M358">
        <f t="shared" si="5"/>
        <v>765</v>
      </c>
      <c r="N358" t="b">
        <v>1</v>
      </c>
      <c r="O358">
        <v>1424.21</v>
      </c>
      <c r="P358">
        <v>1424.21</v>
      </c>
      <c r="Q358">
        <v>21770</v>
      </c>
      <c r="R358">
        <v>21770</v>
      </c>
    </row>
    <row r="359" spans="1:18" x14ac:dyDescent="0.25">
      <c r="A359" t="s">
        <v>704</v>
      </c>
      <c r="B359" t="s">
        <v>691</v>
      </c>
      <c r="C359" s="1">
        <v>41957</v>
      </c>
      <c r="D359" t="s">
        <v>93</v>
      </c>
      <c r="E359" t="s">
        <v>20</v>
      </c>
      <c r="F359" t="s">
        <v>692</v>
      </c>
      <c r="G359" t="s">
        <v>555</v>
      </c>
      <c r="H359">
        <v>320</v>
      </c>
      <c r="I359">
        <v>3</v>
      </c>
      <c r="J359">
        <v>65</v>
      </c>
      <c r="K359">
        <v>714.95</v>
      </c>
      <c r="L359">
        <v>7.0000000000000007E-2</v>
      </c>
      <c r="M359">
        <f t="shared" si="5"/>
        <v>765</v>
      </c>
      <c r="N359" t="b">
        <v>1</v>
      </c>
      <c r="O359">
        <v>1424.21</v>
      </c>
      <c r="P359">
        <v>1424.21</v>
      </c>
      <c r="Q359">
        <v>21770</v>
      </c>
      <c r="R359">
        <v>21770</v>
      </c>
    </row>
    <row r="360" spans="1:18" x14ac:dyDescent="0.25">
      <c r="A360" t="s">
        <v>705</v>
      </c>
      <c r="B360" t="s">
        <v>706</v>
      </c>
      <c r="C360" s="1">
        <v>41954</v>
      </c>
      <c r="D360" t="s">
        <v>58</v>
      </c>
      <c r="E360" t="s">
        <v>118</v>
      </c>
      <c r="F360" t="s">
        <v>707</v>
      </c>
      <c r="G360" t="s">
        <v>708</v>
      </c>
      <c r="H360">
        <v>2494.81</v>
      </c>
      <c r="I360">
        <v>1</v>
      </c>
      <c r="K360">
        <v>2331.6</v>
      </c>
      <c r="L360">
        <v>7.0000000000000007E-2</v>
      </c>
      <c r="M360">
        <f t="shared" si="5"/>
        <v>2494.8000000000002</v>
      </c>
      <c r="O360">
        <v>163.21</v>
      </c>
      <c r="P360">
        <v>163.21</v>
      </c>
      <c r="Q360">
        <v>2494.81</v>
      </c>
      <c r="R360">
        <v>2494.81</v>
      </c>
    </row>
    <row r="361" spans="1:18" x14ac:dyDescent="0.25">
      <c r="A361" t="s">
        <v>709</v>
      </c>
      <c r="B361" t="s">
        <v>710</v>
      </c>
      <c r="C361" s="1">
        <v>41954</v>
      </c>
      <c r="D361" t="s">
        <v>58</v>
      </c>
      <c r="E361" t="s">
        <v>118</v>
      </c>
      <c r="F361" t="s">
        <v>711</v>
      </c>
      <c r="G361" t="s">
        <v>708</v>
      </c>
      <c r="H361">
        <v>2494.81</v>
      </c>
      <c r="I361">
        <v>1</v>
      </c>
      <c r="K361">
        <v>2331.6</v>
      </c>
      <c r="L361">
        <v>7.0000000000000007E-2</v>
      </c>
      <c r="M361">
        <f t="shared" si="5"/>
        <v>2494.8000000000002</v>
      </c>
      <c r="O361">
        <v>337.66</v>
      </c>
      <c r="P361">
        <v>337.66</v>
      </c>
      <c r="Q361">
        <v>5161.3999999999996</v>
      </c>
      <c r="R361">
        <v>5161.3999999999996</v>
      </c>
    </row>
    <row r="362" spans="1:18" x14ac:dyDescent="0.25">
      <c r="A362" t="s">
        <v>712</v>
      </c>
      <c r="B362" t="s">
        <v>710</v>
      </c>
      <c r="C362" s="1">
        <v>41954</v>
      </c>
      <c r="D362" t="s">
        <v>58</v>
      </c>
      <c r="E362" t="s">
        <v>118</v>
      </c>
      <c r="F362" t="s">
        <v>711</v>
      </c>
      <c r="G362" t="s">
        <v>713</v>
      </c>
      <c r="H362">
        <v>2666.59</v>
      </c>
      <c r="I362">
        <v>1</v>
      </c>
      <c r="K362">
        <v>2492.14</v>
      </c>
      <c r="L362">
        <v>7.0000000000000007E-2</v>
      </c>
      <c r="M362">
        <f t="shared" si="5"/>
        <v>2666.6</v>
      </c>
      <c r="O362">
        <v>337.66</v>
      </c>
      <c r="P362">
        <v>337.66</v>
      </c>
      <c r="Q362">
        <v>5161.3999999999996</v>
      </c>
      <c r="R362">
        <v>5161.3999999999996</v>
      </c>
    </row>
    <row r="363" spans="1:18" x14ac:dyDescent="0.25">
      <c r="A363" t="s">
        <v>714</v>
      </c>
      <c r="B363" t="s">
        <v>715</v>
      </c>
      <c r="C363" s="1">
        <v>41954</v>
      </c>
      <c r="D363" t="s">
        <v>58</v>
      </c>
      <c r="E363" t="s">
        <v>118</v>
      </c>
      <c r="F363" t="s">
        <v>716</v>
      </c>
      <c r="G363" t="s">
        <v>713</v>
      </c>
      <c r="H363">
        <v>2666.59</v>
      </c>
      <c r="I363">
        <v>1</v>
      </c>
      <c r="K363">
        <v>2492.14</v>
      </c>
      <c r="L363">
        <v>7.0000000000000007E-2</v>
      </c>
      <c r="M363">
        <f t="shared" si="5"/>
        <v>2666.6</v>
      </c>
      <c r="O363">
        <v>275.67</v>
      </c>
      <c r="P363">
        <v>275.67</v>
      </c>
      <c r="Q363">
        <v>4213.8100000000004</v>
      </c>
      <c r="R363">
        <v>4213.8100000000004</v>
      </c>
    </row>
    <row r="364" spans="1:18" x14ac:dyDescent="0.25">
      <c r="A364" t="s">
        <v>717</v>
      </c>
      <c r="B364" t="s">
        <v>715</v>
      </c>
      <c r="C364" s="1">
        <v>41954</v>
      </c>
      <c r="D364" t="s">
        <v>58</v>
      </c>
      <c r="E364" t="s">
        <v>118</v>
      </c>
      <c r="F364" t="s">
        <v>716</v>
      </c>
      <c r="G364" t="s">
        <v>718</v>
      </c>
      <c r="H364">
        <v>1547.22</v>
      </c>
      <c r="I364">
        <v>1</v>
      </c>
      <c r="K364">
        <v>1446</v>
      </c>
      <c r="L364">
        <v>7.0000000000000007E-2</v>
      </c>
      <c r="M364">
        <f t="shared" si="5"/>
        <v>1547.2</v>
      </c>
      <c r="O364">
        <v>275.67</v>
      </c>
      <c r="P364">
        <v>275.67</v>
      </c>
      <c r="Q364">
        <v>4213.8100000000004</v>
      </c>
      <c r="R364">
        <v>4213.8100000000004</v>
      </c>
    </row>
    <row r="365" spans="1:18" x14ac:dyDescent="0.25">
      <c r="A365" t="s">
        <v>719</v>
      </c>
      <c r="B365" t="s">
        <v>720</v>
      </c>
      <c r="C365" s="1">
        <v>41954</v>
      </c>
      <c r="D365" t="s">
        <v>58</v>
      </c>
      <c r="E365" t="s">
        <v>118</v>
      </c>
      <c r="F365" t="s">
        <v>721</v>
      </c>
      <c r="G365" t="s">
        <v>722</v>
      </c>
      <c r="H365">
        <v>876.33</v>
      </c>
      <c r="I365">
        <v>1</v>
      </c>
      <c r="K365">
        <v>819</v>
      </c>
      <c r="L365">
        <v>7.0000000000000007E-2</v>
      </c>
      <c r="M365">
        <f t="shared" si="5"/>
        <v>876.3</v>
      </c>
      <c r="O365">
        <v>57.33</v>
      </c>
      <c r="P365">
        <v>57.33</v>
      </c>
      <c r="Q365">
        <v>876.33</v>
      </c>
      <c r="R365">
        <v>876.33</v>
      </c>
    </row>
    <row r="366" spans="1:18" x14ac:dyDescent="0.25">
      <c r="A366" t="s">
        <v>723</v>
      </c>
      <c r="B366" t="s">
        <v>724</v>
      </c>
      <c r="C366" s="1">
        <v>41954</v>
      </c>
      <c r="D366" t="s">
        <v>19</v>
      </c>
      <c r="E366" t="s">
        <v>118</v>
      </c>
      <c r="F366" t="s">
        <v>725</v>
      </c>
      <c r="G366" t="s">
        <v>726</v>
      </c>
      <c r="H366">
        <v>710.95</v>
      </c>
      <c r="I366">
        <v>41</v>
      </c>
      <c r="K366">
        <v>27242.01</v>
      </c>
      <c r="L366">
        <v>7.0000000000000007E-2</v>
      </c>
      <c r="M366">
        <f t="shared" si="5"/>
        <v>29149</v>
      </c>
      <c r="O366">
        <v>2954.93</v>
      </c>
      <c r="P366">
        <v>2954.93</v>
      </c>
      <c r="Q366">
        <v>45168.15</v>
      </c>
      <c r="R366">
        <v>45168.15</v>
      </c>
    </row>
    <row r="367" spans="1:18" x14ac:dyDescent="0.25">
      <c r="A367" t="s">
        <v>727</v>
      </c>
      <c r="B367" t="s">
        <v>724</v>
      </c>
      <c r="C367" s="1">
        <v>41954</v>
      </c>
      <c r="D367" t="s">
        <v>19</v>
      </c>
      <c r="E367" t="s">
        <v>118</v>
      </c>
      <c r="F367" t="s">
        <v>725</v>
      </c>
      <c r="G367" t="s">
        <v>728</v>
      </c>
      <c r="H367">
        <v>800.96</v>
      </c>
      <c r="I367">
        <v>20</v>
      </c>
      <c r="K367">
        <v>14971.21</v>
      </c>
      <c r="L367">
        <v>7.0000000000000007E-2</v>
      </c>
      <c r="M367">
        <f t="shared" si="5"/>
        <v>16019.2</v>
      </c>
      <c r="O367">
        <v>2954.93</v>
      </c>
      <c r="P367">
        <v>2954.93</v>
      </c>
      <c r="Q367">
        <v>45168.15</v>
      </c>
      <c r="R367">
        <v>45168.15</v>
      </c>
    </row>
    <row r="368" spans="1:18" x14ac:dyDescent="0.25">
      <c r="A368" t="s">
        <v>729</v>
      </c>
      <c r="B368" t="s">
        <v>730</v>
      </c>
      <c r="C368" s="1">
        <v>41954</v>
      </c>
      <c r="D368" t="s">
        <v>93</v>
      </c>
      <c r="E368" t="s">
        <v>20</v>
      </c>
      <c r="F368" t="s">
        <v>731</v>
      </c>
      <c r="G368" t="s">
        <v>324</v>
      </c>
      <c r="H368">
        <v>970</v>
      </c>
      <c r="I368">
        <v>2</v>
      </c>
      <c r="J368">
        <v>220</v>
      </c>
      <c r="K368">
        <v>1401.87</v>
      </c>
      <c r="L368">
        <v>7.0000000000000007E-2</v>
      </c>
      <c r="M368">
        <f t="shared" si="5"/>
        <v>1500</v>
      </c>
      <c r="N368" t="b">
        <v>1</v>
      </c>
      <c r="O368">
        <v>556.07000000000005</v>
      </c>
      <c r="P368">
        <v>556.07000000000005</v>
      </c>
      <c r="Q368">
        <v>8500</v>
      </c>
      <c r="R368">
        <v>8500</v>
      </c>
    </row>
    <row r="369" spans="1:18" x14ac:dyDescent="0.25">
      <c r="A369" t="s">
        <v>732</v>
      </c>
      <c r="B369" t="s">
        <v>730</v>
      </c>
      <c r="C369" s="1">
        <v>41954</v>
      </c>
      <c r="D369" t="s">
        <v>93</v>
      </c>
      <c r="E369" t="s">
        <v>20</v>
      </c>
      <c r="F369" t="s">
        <v>731</v>
      </c>
      <c r="G369" t="s">
        <v>333</v>
      </c>
      <c r="H369">
        <v>970</v>
      </c>
      <c r="I369">
        <v>2</v>
      </c>
      <c r="J369">
        <v>220</v>
      </c>
      <c r="K369">
        <v>1401.87</v>
      </c>
      <c r="L369">
        <v>7.0000000000000007E-2</v>
      </c>
      <c r="M369">
        <f t="shared" si="5"/>
        <v>1500</v>
      </c>
      <c r="N369" t="b">
        <v>1</v>
      </c>
      <c r="O369">
        <v>556.07000000000005</v>
      </c>
      <c r="P369">
        <v>556.07000000000005</v>
      </c>
      <c r="Q369">
        <v>8500</v>
      </c>
      <c r="R369">
        <v>8500</v>
      </c>
    </row>
    <row r="370" spans="1:18" x14ac:dyDescent="0.25">
      <c r="A370" t="s">
        <v>733</v>
      </c>
      <c r="B370" t="s">
        <v>730</v>
      </c>
      <c r="C370" s="1">
        <v>41954</v>
      </c>
      <c r="D370" t="s">
        <v>93</v>
      </c>
      <c r="E370" t="s">
        <v>20</v>
      </c>
      <c r="F370" t="s">
        <v>731</v>
      </c>
      <c r="G370" t="s">
        <v>322</v>
      </c>
      <c r="H370">
        <v>970</v>
      </c>
      <c r="I370">
        <v>2</v>
      </c>
      <c r="J370">
        <v>220</v>
      </c>
      <c r="K370">
        <v>1401.87</v>
      </c>
      <c r="L370">
        <v>7.0000000000000007E-2</v>
      </c>
      <c r="M370">
        <f t="shared" si="5"/>
        <v>1500</v>
      </c>
      <c r="N370" t="b">
        <v>1</v>
      </c>
      <c r="O370">
        <v>556.07000000000005</v>
      </c>
      <c r="P370">
        <v>556.07000000000005</v>
      </c>
      <c r="Q370">
        <v>8500</v>
      </c>
      <c r="R370">
        <v>8500</v>
      </c>
    </row>
    <row r="371" spans="1:18" x14ac:dyDescent="0.25">
      <c r="A371" t="s">
        <v>734</v>
      </c>
      <c r="B371" t="s">
        <v>730</v>
      </c>
      <c r="C371" s="1">
        <v>41954</v>
      </c>
      <c r="D371" t="s">
        <v>93</v>
      </c>
      <c r="E371" t="s">
        <v>20</v>
      </c>
      <c r="F371" t="s">
        <v>731</v>
      </c>
      <c r="G371" t="s">
        <v>681</v>
      </c>
      <c r="H371">
        <v>1600</v>
      </c>
      <c r="I371">
        <v>2</v>
      </c>
      <c r="J371">
        <v>600</v>
      </c>
      <c r="K371">
        <v>1869.16</v>
      </c>
      <c r="L371">
        <v>7.0000000000000007E-2</v>
      </c>
      <c r="M371">
        <f t="shared" si="5"/>
        <v>2000</v>
      </c>
      <c r="N371" t="b">
        <v>1</v>
      </c>
      <c r="O371">
        <v>556.07000000000005</v>
      </c>
      <c r="P371">
        <v>556.07000000000005</v>
      </c>
      <c r="Q371">
        <v>8500</v>
      </c>
      <c r="R371">
        <v>8500</v>
      </c>
    </row>
    <row r="372" spans="1:18" x14ac:dyDescent="0.25">
      <c r="A372" t="s">
        <v>735</v>
      </c>
      <c r="B372" t="s">
        <v>730</v>
      </c>
      <c r="C372" s="1">
        <v>41954</v>
      </c>
      <c r="D372" t="s">
        <v>93</v>
      </c>
      <c r="E372" t="s">
        <v>20</v>
      </c>
      <c r="F372" t="s">
        <v>731</v>
      </c>
      <c r="G372" t="s">
        <v>679</v>
      </c>
      <c r="H372">
        <v>1600</v>
      </c>
      <c r="I372">
        <v>2</v>
      </c>
      <c r="J372">
        <v>600</v>
      </c>
      <c r="K372">
        <v>1869.16</v>
      </c>
      <c r="L372">
        <v>7.0000000000000007E-2</v>
      </c>
      <c r="M372">
        <f t="shared" si="5"/>
        <v>2000</v>
      </c>
      <c r="N372" t="b">
        <v>1</v>
      </c>
      <c r="O372">
        <v>556.07000000000005</v>
      </c>
      <c r="P372">
        <v>556.07000000000005</v>
      </c>
      <c r="Q372">
        <v>8500</v>
      </c>
      <c r="R372">
        <v>8500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Sheet2</vt:lpstr>
      <vt:lpstr>Sheet1</vt:lpstr>
      <vt:lpstr>Sheet1!sale.order.line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InfoMobius</dc:creator>
  <cp:lastModifiedBy>InfoMobius</cp:lastModifiedBy>
  <dcterms:created xsi:type="dcterms:W3CDTF">2014-11-27T15:34:54Z</dcterms:created>
  <dcterms:modified xsi:type="dcterms:W3CDTF">2014-11-27T16:42:15Z</dcterms:modified>
</cp:coreProperties>
</file>